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tail Facilities\DU Automation\BWP ring fencing data\Ring fencing presentation\"/>
    </mc:Choice>
  </mc:AlternateContent>
  <xr:revisionPtr revIDLastSave="0" documentId="13_ncr:1_{1DF0C178-4A28-442B-BF20-5558E97C24C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U Sheet" sheetId="2" r:id="rId1"/>
    <sheet name="Summary-Updated" sheetId="4" r:id="rId2"/>
  </sheets>
  <definedNames>
    <definedName name="_xlnm._FilterDatabase" localSheetId="0" hidden="1">'DU Sheet'!$A$4:$AN$271</definedName>
    <definedName name="_xlnm.Print_Area" localSheetId="0">'DU Sheet'!$A$7:$Q$580</definedName>
    <definedName name="_xlnm.Print_Titles" localSheetId="0">'DU Sheet'!#REF!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4" l="1"/>
  <c r="Y4" i="4"/>
  <c r="W4" i="4"/>
  <c r="AO260" i="2"/>
  <c r="AO257" i="2"/>
  <c r="AO256" i="2"/>
  <c r="AO255" i="2"/>
  <c r="AO246" i="2"/>
  <c r="AO245" i="2"/>
  <c r="AO243" i="2"/>
  <c r="AO237" i="2"/>
  <c r="AO216" i="2"/>
  <c r="AO204" i="2"/>
  <c r="AO196" i="2"/>
  <c r="AO189" i="2"/>
  <c r="AO188" i="2"/>
  <c r="AO175" i="2"/>
  <c r="AO170" i="2"/>
  <c r="AO161" i="2"/>
  <c r="AO148" i="2"/>
  <c r="AO146" i="2"/>
  <c r="AO141" i="2"/>
  <c r="AO132" i="2"/>
  <c r="AO126" i="2"/>
  <c r="AO124" i="2"/>
  <c r="AO123" i="2"/>
  <c r="AO120" i="2"/>
  <c r="AO113" i="2"/>
  <c r="AO104" i="2"/>
  <c r="AO100" i="2"/>
  <c r="AO95" i="2"/>
  <c r="AO91" i="2"/>
  <c r="AO61" i="2"/>
  <c r="AO53" i="2"/>
  <c r="AO41" i="2"/>
  <c r="AO37" i="2"/>
  <c r="AO35" i="2"/>
  <c r="AO26" i="2"/>
  <c r="AO18" i="2"/>
  <c r="AO9" i="2"/>
  <c r="AO8" i="2"/>
  <c r="V4" i="4"/>
  <c r="T4" i="4"/>
  <c r="U4" i="4"/>
  <c r="P6" i="4"/>
  <c r="AD4" i="4"/>
  <c r="S4" i="4" l="1"/>
  <c r="AE4" i="4"/>
  <c r="Q4" i="4" l="1"/>
  <c r="I6" i="4" l="1"/>
  <c r="AB6" i="4"/>
  <c r="AA6" i="4"/>
  <c r="Z6" i="4"/>
  <c r="X6" i="4"/>
  <c r="V6" i="4"/>
  <c r="AH6" i="4" s="1"/>
  <c r="U6" i="4"/>
  <c r="AG6" i="4" s="1"/>
  <c r="R6" i="4"/>
  <c r="M6" i="4"/>
  <c r="L6" i="4"/>
  <c r="H6" i="4"/>
  <c r="G6" i="4"/>
  <c r="F6" i="4"/>
  <c r="E6" i="4"/>
  <c r="D6" i="4"/>
  <c r="C6" i="4"/>
  <c r="AH5" i="4"/>
  <c r="AG5" i="4"/>
  <c r="AF5" i="4"/>
  <c r="AD5" i="4"/>
  <c r="AC6" i="4"/>
  <c r="AI4" i="4"/>
  <c r="AH4" i="4"/>
  <c r="AG4" i="4"/>
  <c r="Y6" i="4"/>
  <c r="T6" i="4"/>
  <c r="J6" i="4"/>
  <c r="AF6" i="4" l="1"/>
  <c r="AD6" i="4"/>
  <c r="AF4" i="4"/>
  <c r="AH270" i="2" l="1"/>
  <c r="AJ270" i="2"/>
  <c r="AI270" i="2"/>
  <c r="AI271" i="2" l="1"/>
  <c r="N105" i="2"/>
  <c r="N73" i="2"/>
  <c r="N201" i="2"/>
  <c r="N233" i="2"/>
  <c r="N169" i="2"/>
  <c r="AB270" i="2"/>
  <c r="AF270" i="2"/>
  <c r="AD270" i="2"/>
  <c r="X270" i="2"/>
  <c r="AG270" i="2"/>
  <c r="AC270" i="2"/>
  <c r="N38" i="2"/>
  <c r="N261" i="2"/>
  <c r="N253" i="2"/>
  <c r="N238" i="2"/>
  <c r="N230" i="2"/>
  <c r="N222" i="2"/>
  <c r="N214" i="2"/>
  <c r="N206" i="2"/>
  <c r="AN206" i="2" s="1"/>
  <c r="N198" i="2"/>
  <c r="N190" i="2"/>
  <c r="N182" i="2"/>
  <c r="N174" i="2"/>
  <c r="N166" i="2"/>
  <c r="N158" i="2"/>
  <c r="N150" i="2"/>
  <c r="N142" i="2"/>
  <c r="N137" i="2"/>
  <c r="N134" i="2"/>
  <c r="AN134" i="2" s="1"/>
  <c r="N126" i="2"/>
  <c r="AN126" i="2" s="1"/>
  <c r="N118" i="2"/>
  <c r="AN118" i="2" s="1"/>
  <c r="N110" i="2"/>
  <c r="AN110" i="2" s="1"/>
  <c r="N102" i="2"/>
  <c r="N94" i="2"/>
  <c r="AN94" i="2" s="1"/>
  <c r="N86" i="2"/>
  <c r="N78" i="2"/>
  <c r="N70" i="2"/>
  <c r="N61" i="2"/>
  <c r="AN61" i="2" s="1"/>
  <c r="N53" i="2"/>
  <c r="AN53" i="2" s="1"/>
  <c r="N45" i="2"/>
  <c r="N37" i="2"/>
  <c r="AN37" i="2" s="1"/>
  <c r="N29" i="2"/>
  <c r="AN29" i="2" s="1"/>
  <c r="N21" i="2"/>
  <c r="N13" i="2"/>
  <c r="N263" i="2"/>
  <c r="N259" i="2"/>
  <c r="N255" i="2"/>
  <c r="AN255" i="2" s="1"/>
  <c r="N251" i="2"/>
  <c r="AN251" i="2" s="1"/>
  <c r="N239" i="2"/>
  <c r="N235" i="2"/>
  <c r="N231" i="2"/>
  <c r="AN231" i="2" s="1"/>
  <c r="N227" i="2"/>
  <c r="AN227" i="2" s="1"/>
  <c r="N223" i="2"/>
  <c r="N219" i="2"/>
  <c r="N215" i="2"/>
  <c r="N211" i="2"/>
  <c r="N207" i="2"/>
  <c r="N203" i="2"/>
  <c r="N199" i="2"/>
  <c r="N195" i="2"/>
  <c r="N191" i="2"/>
  <c r="N187" i="2"/>
  <c r="N183" i="2"/>
  <c r="N179" i="2"/>
  <c r="N175" i="2"/>
  <c r="AN175" i="2" s="1"/>
  <c r="N171" i="2"/>
  <c r="N167" i="2"/>
  <c r="N163" i="2"/>
  <c r="N159" i="2"/>
  <c r="N155" i="2"/>
  <c r="N151" i="2"/>
  <c r="N147" i="2"/>
  <c r="N143" i="2"/>
  <c r="N139" i="2"/>
  <c r="N135" i="2"/>
  <c r="N131" i="2"/>
  <c r="N127" i="2"/>
  <c r="AN127" i="2" s="1"/>
  <c r="N123" i="2"/>
  <c r="AN123" i="2" s="1"/>
  <c r="N119" i="2"/>
  <c r="N264" i="2"/>
  <c r="AN264" i="2" s="1"/>
  <c r="N260" i="2"/>
  <c r="AN260" i="2" s="1"/>
  <c r="N252" i="2"/>
  <c r="N244" i="2"/>
  <c r="AN244" i="2" s="1"/>
  <c r="N236" i="2"/>
  <c r="AN236" i="2" s="1"/>
  <c r="N232" i="2"/>
  <c r="N228" i="2"/>
  <c r="N220" i="2"/>
  <c r="AN220" i="2" s="1"/>
  <c r="N184" i="2"/>
  <c r="N172" i="2"/>
  <c r="N168" i="2"/>
  <c r="N164" i="2"/>
  <c r="N152" i="2"/>
  <c r="AN152" i="2" s="1"/>
  <c r="N140" i="2"/>
  <c r="N132" i="2"/>
  <c r="AN132" i="2" s="1"/>
  <c r="N268" i="2"/>
  <c r="N248" i="2"/>
  <c r="N216" i="2"/>
  <c r="AN216" i="2" s="1"/>
  <c r="N212" i="2"/>
  <c r="N208" i="2"/>
  <c r="AN208" i="2" s="1"/>
  <c r="N200" i="2"/>
  <c r="N196" i="2"/>
  <c r="AN196" i="2" s="1"/>
  <c r="N192" i="2"/>
  <c r="N180" i="2"/>
  <c r="N176" i="2"/>
  <c r="N156" i="2"/>
  <c r="AN156" i="2" s="1"/>
  <c r="N256" i="2"/>
  <c r="AN256" i="2" s="1"/>
  <c r="N240" i="2"/>
  <c r="N224" i="2"/>
  <c r="AN224" i="2" s="1"/>
  <c r="N188" i="2"/>
  <c r="AN188" i="2" s="1"/>
  <c r="N160" i="2"/>
  <c r="N144" i="2"/>
  <c r="N136" i="2"/>
  <c r="N128" i="2"/>
  <c r="N241" i="2"/>
  <c r="AN241" i="2" s="1"/>
  <c r="N225" i="2"/>
  <c r="N217" i="2"/>
  <c r="N209" i="2"/>
  <c r="N193" i="2"/>
  <c r="AN193" i="2" s="1"/>
  <c r="N185" i="2"/>
  <c r="N177" i="2"/>
  <c r="AN177" i="2" s="1"/>
  <c r="N161" i="2"/>
  <c r="AN161" i="2" s="1"/>
  <c r="N153" i="2"/>
  <c r="N145" i="2"/>
  <c r="AN145" i="2" s="1"/>
  <c r="N129" i="2"/>
  <c r="AN129" i="2" s="1"/>
  <c r="N121" i="2"/>
  <c r="N113" i="2"/>
  <c r="AN113" i="2" s="1"/>
  <c r="N97" i="2"/>
  <c r="AN97" i="2" s="1"/>
  <c r="N89" i="2"/>
  <c r="AN89" i="2" s="1"/>
  <c r="N81" i="2"/>
  <c r="N65" i="2"/>
  <c r="N262" i="2"/>
  <c r="N254" i="2"/>
  <c r="AN254" i="2" s="1"/>
  <c r="N54" i="2"/>
  <c r="N46" i="2"/>
  <c r="N30" i="2"/>
  <c r="AN30" i="2" s="1"/>
  <c r="N22" i="2"/>
  <c r="AN22" i="2" s="1"/>
  <c r="N14" i="2"/>
  <c r="Z270" i="2"/>
  <c r="N116" i="2"/>
  <c r="N115" i="2"/>
  <c r="N112" i="2"/>
  <c r="N111" i="2"/>
  <c r="N108" i="2"/>
  <c r="N107" i="2"/>
  <c r="N103" i="2"/>
  <c r="N265" i="2"/>
  <c r="N257" i="2"/>
  <c r="AN257" i="2" s="1"/>
  <c r="N249" i="2"/>
  <c r="AN249" i="2" s="1"/>
  <c r="N237" i="2"/>
  <c r="AN237" i="2" s="1"/>
  <c r="N229" i="2"/>
  <c r="AN229" i="2" s="1"/>
  <c r="N221" i="2"/>
  <c r="AN221" i="2" s="1"/>
  <c r="N213" i="2"/>
  <c r="N205" i="2"/>
  <c r="AN205" i="2" s="1"/>
  <c r="N197" i="2"/>
  <c r="N189" i="2"/>
  <c r="AN189" i="2" s="1"/>
  <c r="N181" i="2"/>
  <c r="N173" i="2"/>
  <c r="N165" i="2"/>
  <c r="N157" i="2"/>
  <c r="N149" i="2"/>
  <c r="N141" i="2"/>
  <c r="AN141" i="2" s="1"/>
  <c r="N133" i="2"/>
  <c r="N125" i="2"/>
  <c r="AN125" i="2" s="1"/>
  <c r="N117" i="2"/>
  <c r="N109" i="2"/>
  <c r="N101" i="2"/>
  <c r="N93" i="2"/>
  <c r="N85" i="2"/>
  <c r="N77" i="2"/>
  <c r="N69" i="2"/>
  <c r="AN69" i="2" s="1"/>
  <c r="N57" i="2"/>
  <c r="N49" i="2"/>
  <c r="N41" i="2"/>
  <c r="AN41" i="2" s="1"/>
  <c r="N33" i="2"/>
  <c r="AN33" i="2" s="1"/>
  <c r="N25" i="2"/>
  <c r="N17" i="2"/>
  <c r="N9" i="2"/>
  <c r="AN9" i="2" s="1"/>
  <c r="N258" i="2"/>
  <c r="AN258" i="2" s="1"/>
  <c r="N242" i="2"/>
  <c r="AN242" i="2" s="1"/>
  <c r="N234" i="2"/>
  <c r="N226" i="2"/>
  <c r="N218" i="2"/>
  <c r="N210" i="2"/>
  <c r="N202" i="2"/>
  <c r="N194" i="2"/>
  <c r="N186" i="2"/>
  <c r="N178" i="2"/>
  <c r="N170" i="2"/>
  <c r="AN170" i="2" s="1"/>
  <c r="N162" i="2"/>
  <c r="N154" i="2"/>
  <c r="N146" i="2"/>
  <c r="AN146" i="2" s="1"/>
  <c r="N138" i="2"/>
  <c r="N130" i="2"/>
  <c r="AN130" i="2" s="1"/>
  <c r="N122" i="2"/>
  <c r="AN122" i="2" s="1"/>
  <c r="N114" i="2"/>
  <c r="N106" i="2"/>
  <c r="N98" i="2"/>
  <c r="AN98" i="2" s="1"/>
  <c r="N90" i="2"/>
  <c r="N82" i="2"/>
  <c r="N74" i="2"/>
  <c r="N66" i="2"/>
  <c r="N58" i="2"/>
  <c r="N50" i="2"/>
  <c r="AN50" i="2" s="1"/>
  <c r="N42" i="2"/>
  <c r="N34" i="2"/>
  <c r="AN34" i="2" s="1"/>
  <c r="N26" i="2"/>
  <c r="AN26" i="2" s="1"/>
  <c r="N18" i="2"/>
  <c r="AN18" i="2" s="1"/>
  <c r="N10" i="2"/>
  <c r="AN10" i="2" s="1"/>
  <c r="N267" i="2"/>
  <c r="AN267" i="2" s="1"/>
  <c r="N8" i="2"/>
  <c r="AN8" i="2" s="1"/>
  <c r="N100" i="2"/>
  <c r="AN100" i="2" s="1"/>
  <c r="N91" i="2"/>
  <c r="AN91" i="2" s="1"/>
  <c r="N87" i="2"/>
  <c r="N83" i="2"/>
  <c r="N80" i="2"/>
  <c r="N75" i="2"/>
  <c r="N71" i="2"/>
  <c r="AN71" i="2" s="1"/>
  <c r="N68" i="2"/>
  <c r="N63" i="2"/>
  <c r="N59" i="2"/>
  <c r="AN59" i="2" s="1"/>
  <c r="N55" i="2"/>
  <c r="N52" i="2"/>
  <c r="N48" i="2"/>
  <c r="N44" i="2"/>
  <c r="N40" i="2"/>
  <c r="AN40" i="2" s="1"/>
  <c r="N35" i="2"/>
  <c r="AN35" i="2" s="1"/>
  <c r="N31" i="2"/>
  <c r="N28" i="2"/>
  <c r="N23" i="2"/>
  <c r="N20" i="2"/>
  <c r="N15" i="2"/>
  <c r="N12" i="2"/>
  <c r="N269" i="2"/>
  <c r="N245" i="2"/>
  <c r="AN245" i="2" s="1"/>
  <c r="N99" i="2"/>
  <c r="N96" i="2"/>
  <c r="AN96" i="2" s="1"/>
  <c r="N95" i="2"/>
  <c r="AN95" i="2" s="1"/>
  <c r="N92" i="2"/>
  <c r="N88" i="2"/>
  <c r="AN88" i="2" s="1"/>
  <c r="N84" i="2"/>
  <c r="N79" i="2"/>
  <c r="N76" i="2"/>
  <c r="N72" i="2"/>
  <c r="N67" i="2"/>
  <c r="N64" i="2"/>
  <c r="N60" i="2"/>
  <c r="AN60" i="2" s="1"/>
  <c r="N56" i="2"/>
  <c r="N51" i="2"/>
  <c r="N47" i="2"/>
  <c r="AN47" i="2" s="1"/>
  <c r="N43" i="2"/>
  <c r="N39" i="2"/>
  <c r="N36" i="2"/>
  <c r="N32" i="2"/>
  <c r="N27" i="2"/>
  <c r="N24" i="2"/>
  <c r="N19" i="2"/>
  <c r="N16" i="2"/>
  <c r="N11" i="2"/>
  <c r="AN11" i="2" s="1"/>
  <c r="N266" i="2"/>
  <c r="N250" i="2"/>
  <c r="N246" i="2"/>
  <c r="AN246" i="2" s="1"/>
  <c r="N62" i="2"/>
  <c r="N247" i="2"/>
  <c r="AN247" i="2" s="1"/>
  <c r="Y270" i="2"/>
  <c r="N243" i="2"/>
  <c r="AN243" i="2" s="1"/>
  <c r="N204" i="2"/>
  <c r="AN204" i="2" s="1"/>
  <c r="N148" i="2"/>
  <c r="AN148" i="2" s="1"/>
  <c r="N124" i="2"/>
  <c r="AN124" i="2" s="1"/>
  <c r="N120" i="2"/>
  <c r="AN120" i="2" s="1"/>
  <c r="N104" i="2"/>
  <c r="AN104" i="2" s="1"/>
  <c r="N7" i="2"/>
  <c r="V270" i="2"/>
  <c r="T270" i="2"/>
  <c r="U270" i="2"/>
  <c r="Q270" i="2"/>
  <c r="P270" i="2"/>
  <c r="R270" i="2"/>
  <c r="AF271" i="2" l="1"/>
  <c r="AB271" i="2"/>
  <c r="P271" i="2"/>
  <c r="T271" i="2"/>
  <c r="X271" i="2"/>
  <c r="N270" i="2"/>
  <c r="Q5" i="4"/>
  <c r="Q6" i="4" s="1"/>
  <c r="S6" i="4"/>
  <c r="AE6" i="4" s="1"/>
  <c r="AE5" i="4"/>
  <c r="W5" i="4"/>
  <c r="AI5" i="4" s="1"/>
  <c r="W6" i="4" l="1"/>
  <c r="AI6" i="4" s="1"/>
</calcChain>
</file>

<file path=xl/sharedStrings.xml><?xml version="1.0" encoding="utf-8"?>
<sst xmlns="http://schemas.openxmlformats.org/spreadsheetml/2006/main" count="7319" uniqueCount="742">
  <si>
    <t>S.No</t>
  </si>
  <si>
    <t>CODE NO</t>
  </si>
  <si>
    <t>DIVISION</t>
  </si>
  <si>
    <t>NAME OF OUTLETS</t>
  </si>
  <si>
    <t>LOCATION</t>
  </si>
  <si>
    <t>BWP</t>
  </si>
  <si>
    <t>BAHAWALPUR</t>
  </si>
  <si>
    <t>RASHAD PET.SERVICE</t>
  </si>
  <si>
    <t>RIZWAN AZM</t>
  </si>
  <si>
    <t>HAJI HANIF (AZM)</t>
  </si>
  <si>
    <t>HUSNAIN P/S</t>
  </si>
  <si>
    <t>ON HASIL PUR CHISTIAN ROAD AT CHAK58/F</t>
  </si>
  <si>
    <t>QUICKWAYS TRUCKING STN</t>
  </si>
  <si>
    <t>RAHIMYARKHAN II</t>
  </si>
  <si>
    <t>LODHRAN</t>
  </si>
  <si>
    <t>EALIA PET SERVICE</t>
  </si>
  <si>
    <t>KM25 SAUJABAD/LODHRANRD MOUZA RAWANRILODHRAN</t>
  </si>
  <si>
    <t>MAILSI</t>
  </si>
  <si>
    <t>TEHSIL MAILSI CITY, DISTRICT VEHARI</t>
  </si>
  <si>
    <t>AL-MAHMOOD GASOLINE</t>
  </si>
  <si>
    <t>MULTAN</t>
  </si>
  <si>
    <t>VEHARI</t>
  </si>
  <si>
    <t>ALLAH RAKHA FILL STN</t>
  </si>
  <si>
    <t>GREEN STAR FILL STATIO</t>
  </si>
  <si>
    <t>SHOOTWAYS</t>
  </si>
  <si>
    <t>NAQVI OIL TRADERS</t>
  </si>
  <si>
    <t>ASFAND YAR P/S</t>
  </si>
  <si>
    <t>KHAN OIL TRADERS</t>
  </si>
  <si>
    <t>SHAKEEL PET SERVICE</t>
  </si>
  <si>
    <t>AL-FAREED PET SERVICE</t>
  </si>
  <si>
    <t>REHMAN FILL STATION</t>
  </si>
  <si>
    <t>MANAIS PET SERVICE</t>
  </si>
  <si>
    <t>KAMBOH FILL STATION</t>
  </si>
  <si>
    <t>KM 32-33 VER/DEHLI MXCRD. CHAK NO 100/WBVEHARI</t>
  </si>
  <si>
    <t>RAMAY PET SERVICE</t>
  </si>
  <si>
    <t>NATIONAL AUTOS</t>
  </si>
  <si>
    <t>KIKRI GAS STATION</t>
  </si>
  <si>
    <t>ZAFAR PET.SERVICE</t>
  </si>
  <si>
    <t>BASRA FILLING STATION</t>
  </si>
  <si>
    <t>BASHIR PET SERVICE</t>
  </si>
  <si>
    <t>NEW MINTHAAR PET.SERV.</t>
  </si>
  <si>
    <t>NEW TEHSIN PET SERVICE</t>
  </si>
  <si>
    <t>PIR PATHAN PET SER</t>
  </si>
  <si>
    <t>ASHRAF PET: SERVICE</t>
  </si>
  <si>
    <t>ASIM AND COMPANY</t>
  </si>
  <si>
    <t>ASAD FILL STATION</t>
  </si>
  <si>
    <t>NEW BILAL T/S</t>
  </si>
  <si>
    <t>RAFIQ PETROLEUM SERVIC</t>
  </si>
  <si>
    <t>AAMER PET SERVICE</t>
  </si>
  <si>
    <t>DUNYAPUR PET SER</t>
  </si>
  <si>
    <t>AL MASOOD P/S</t>
  </si>
  <si>
    <t>NAJIF PET SERVICE</t>
  </si>
  <si>
    <t>WAQAS PER.SERVICE</t>
  </si>
  <si>
    <t>KHAN P/S</t>
  </si>
  <si>
    <t>SARWAR KHURSHID P/SER</t>
  </si>
  <si>
    <t>AL-FAZAL PET.SERVICE</t>
  </si>
  <si>
    <t>MIAN PET SERVICE</t>
  </si>
  <si>
    <t>RAHIMYAR KHAN</t>
  </si>
  <si>
    <t>ALI KHAN PETROLEUM</t>
  </si>
  <si>
    <t>KM 738-739 OF N.H.WAYAT MOUZA RUM TEHSILLIAQUATPUR</t>
  </si>
  <si>
    <t>FINE PET SER</t>
  </si>
  <si>
    <t>CHEEMA P/S</t>
  </si>
  <si>
    <t>AL MUSTAFA  P/S.</t>
  </si>
  <si>
    <t>NEW EVERSHINE FILL/STN</t>
  </si>
  <si>
    <t>SEVEN STAR TRUCKING</t>
  </si>
  <si>
    <t>IJLAL F/STN</t>
  </si>
  <si>
    <t>ABBAS FILL STATION</t>
  </si>
  <si>
    <t>MODEL PET SERVICE</t>
  </si>
  <si>
    <t>SANGHALAN FILL STATION</t>
  </si>
  <si>
    <t>NADEEM PET SERVICE</t>
  </si>
  <si>
    <t>TALHA P/S</t>
  </si>
  <si>
    <t>CARWAN TRUCKING STN</t>
  </si>
  <si>
    <t>ADNAN PET.SERVICE</t>
  </si>
  <si>
    <t>AL-MUSTAFA PET SERVICE</t>
  </si>
  <si>
    <t>MODERN SERVICE STAION</t>
  </si>
  <si>
    <t>MANZIL TRUCKING STN</t>
  </si>
  <si>
    <t>KHAN BROS. P/S</t>
  </si>
  <si>
    <t>KHURRAM PET SERVICE</t>
  </si>
  <si>
    <t>ALLAH-O-AKBER P/S</t>
  </si>
  <si>
    <t>RED STAR PET SERVICE</t>
  </si>
  <si>
    <t>MADINA PET SERVICE</t>
  </si>
  <si>
    <t>GREEN STAR TRUCK STN</t>
  </si>
  <si>
    <t>MOHKUM  P/S</t>
  </si>
  <si>
    <t>REHMANIA PET SERVICE</t>
  </si>
  <si>
    <t>THOTA FILLING STATION</t>
  </si>
  <si>
    <t>AL-MAKKA AGRIMAL</t>
  </si>
  <si>
    <t>ITTEFAQ PET SERVICE</t>
  </si>
  <si>
    <t>ARBI T/S</t>
  </si>
  <si>
    <t>STATE  OIL  CC.</t>
  </si>
  <si>
    <t>SERANI PET SERVICE</t>
  </si>
  <si>
    <t>AL NASEER P/S</t>
  </si>
  <si>
    <t>RAHIM YAR KHAN</t>
  </si>
  <si>
    <t>FAIZ-E-GILLAN PET/SER</t>
  </si>
  <si>
    <t>MUMTAZ CHANG P/S</t>
  </si>
  <si>
    <t>ALLAHWALA FILL STATION</t>
  </si>
  <si>
    <t>DRIG PETROLIUM SER</t>
  </si>
  <si>
    <t>DAWOOD  PET.SERVICE</t>
  </si>
  <si>
    <t>NEW DAUD P/S</t>
  </si>
  <si>
    <t>SHAHBAZ PET SERVICE</t>
  </si>
  <si>
    <t>ALIZAI AND CO</t>
  </si>
  <si>
    <t>REHBER PET SERVICE</t>
  </si>
  <si>
    <t>MAZARI AUTOS</t>
  </si>
  <si>
    <t>SADIQABAD</t>
  </si>
  <si>
    <t>HASSAN PETROLEUM</t>
  </si>
  <si>
    <t>HAZARA TRUCKING STN</t>
  </si>
  <si>
    <t>PIR MOOSA NAWAB PETSER</t>
  </si>
  <si>
    <t>AL-MEHAR PET SERVICE</t>
  </si>
  <si>
    <t>ALI MOTORS FILL STN</t>
  </si>
  <si>
    <t>AL HAMD PETROLEUM</t>
  </si>
  <si>
    <t>KHOKAR FILLING STATION</t>
  </si>
  <si>
    <t>MALIK GASOLINE SERVICE</t>
  </si>
  <si>
    <t>AL MAKKA FILL STATION</t>
  </si>
  <si>
    <t>ZAHIRPIR PETROLEUM</t>
  </si>
  <si>
    <t>ARSHAD FAROOQ PET.SER.</t>
  </si>
  <si>
    <t>ASIA F/S</t>
  </si>
  <si>
    <t>BUKHARI FILL STATION</t>
  </si>
  <si>
    <t>TOOR T-STATION</t>
  </si>
  <si>
    <t>ZAFAR TRUCKING STN</t>
  </si>
  <si>
    <t>ALSADIQ FILL STATION</t>
  </si>
  <si>
    <t>SHAHAB TRUCKING STN</t>
  </si>
  <si>
    <t>MAJEED BROTHERS</t>
  </si>
  <si>
    <t>GILLANI PET SERVICE</t>
  </si>
  <si>
    <t>NAZIR KALLU P/STN.</t>
  </si>
  <si>
    <t>UNITED PETROLEUM</t>
  </si>
  <si>
    <t>JADDAH PET/SERVICE</t>
  </si>
  <si>
    <t>TAHIR PETROLEUM SER</t>
  </si>
  <si>
    <t>BILAL TRUCKING STN</t>
  </si>
  <si>
    <t>MUSHTAQ PET SERVICE</t>
  </si>
  <si>
    <t>ASIF PET SERVICE</t>
  </si>
  <si>
    <t>SHAMIM PET SERVICE</t>
  </si>
  <si>
    <t>SHALIMAR FILLING STN</t>
  </si>
  <si>
    <t>SHANDAR PET SERVICE</t>
  </si>
  <si>
    <t>BISMILLAH PET SERVICE</t>
  </si>
  <si>
    <t>GREEN VALLEY PET SER</t>
  </si>
  <si>
    <t>AL-RAIS PET SERVICE</t>
  </si>
  <si>
    <t>SHAHEEN PETROLEUM SER</t>
  </si>
  <si>
    <t>ZAHID PETROLIUM SERVIC</t>
  </si>
  <si>
    <t>MOHAMMADI PET SERVICE</t>
  </si>
  <si>
    <t>AZEEM P/S</t>
  </si>
  <si>
    <t>WAHID PET SERVICE</t>
  </si>
  <si>
    <t>IQBAL P/S</t>
  </si>
  <si>
    <t>NISAR F/S</t>
  </si>
  <si>
    <t>HUZAIFA P/S</t>
  </si>
  <si>
    <t>ALI ABBAS P/S</t>
  </si>
  <si>
    <t>ON HEAD PUNJNAD ROAD UCH SHARIF</t>
  </si>
  <si>
    <t>AKBAR P/S</t>
  </si>
  <si>
    <t>BASTI WALA BAHAWALPUR ROAD</t>
  </si>
  <si>
    <t>JAHNGI WALLA</t>
  </si>
  <si>
    <t>CHOONA WALA TEHSIL  HASIL PUR FORTABAS</t>
  </si>
  <si>
    <t>MOOSA F/S</t>
  </si>
  <si>
    <t>ON HASILPUR VEHARI ROAD</t>
  </si>
  <si>
    <t>KM NO.53 OF KHANEWAL-LODHRAN ROAD AT MOUZAQADIR PU</t>
  </si>
  <si>
    <t>KM 13 ON VEHARI MAILSI AT MOUZA KOT SORO MORE DISTT: VEHAIR.</t>
  </si>
  <si>
    <t>KM-627 DEHLI MULTAN RDCHAK-120/WB MAILSIVEHARI</t>
  </si>
  <si>
    <t>MULTAN/VHR RD NOORSHAHCHOWK AT CHAK NO 95/WEVEHARI</t>
  </si>
  <si>
    <t>KM 6/7 MAILSI/VHR ROAD MUZA ALAM PUR DISTT: VEHARI</t>
  </si>
  <si>
    <t>KARAMPUR ROADMALAKWINE MAILSIDIST VEHARI</t>
  </si>
  <si>
    <t>MAILSIDISTT VEHARI</t>
  </si>
  <si>
    <t>MALSI-MUTRU ROADMOUZA MITRUVAHARI</t>
  </si>
  <si>
    <t>METHLA CHOWKVEHARI ROADDISTT VEHARI</t>
  </si>
  <si>
    <t>21 KM ;OF GARHA MOREMAINPAKHI ROADVEHARI</t>
  </si>
  <si>
    <t>KM612 DEHLI MULTAN RD.CHAK174/WBADDAG HUSAINVEHARI</t>
  </si>
  <si>
    <t>KM-8 VHR/MAILSI K.PURRD CHAK NO 63/WBVEHARI</t>
  </si>
  <si>
    <t>MOUZA FIDA VEHARI-MAILSI ROAD KM 37-38 IN TEHSIL MAILSI</t>
  </si>
  <si>
    <t>VEHARI KARAMPUR MAILSI ROAD</t>
  </si>
  <si>
    <t>MAILSI TIBBA SULTANPURRD MOU TIBBA SULTANPURVEHARI</t>
  </si>
  <si>
    <t>ON HASILPUR VEHARI ROAD AT HASILPUR CITY</t>
  </si>
  <si>
    <t>KM 94/95 STATE HIGHWAYCHAK NO 18/FWBAHAWALPUR</t>
  </si>
  <si>
    <t>MANDI HASILPURDISTT BAHAWALPUR</t>
  </si>
  <si>
    <t>KAROR PACCA ROADMAUZA KIKRIVEHARI</t>
  </si>
  <si>
    <t>32 ON DUNYA PURDOATA ROAD AT CHAK 211W.B.MAILSIVEH</t>
  </si>
  <si>
    <t>HASILPUR/C.WALLA ROADCHAK NO-63/F HASILPURBAHAWALP</t>
  </si>
  <si>
    <t>KM 12-13 BAHAWALPURBAHAWALNAGAR ROAD ATMAUZA QAIMP</t>
  </si>
  <si>
    <t>KM-43/44-KWL-LODHRAN166/WB LANGH MAILSIVEHARI</t>
  </si>
  <si>
    <t>CHAK 83FFATEH HASILDURBAHAWALPUR</t>
  </si>
  <si>
    <t>909 FROM KARACHI ONKHANEWAL LODHRAN ROADQUTABPUR A</t>
  </si>
  <si>
    <t>KW/LODHRAN(BY PASS)MAUZA QATUBPUR DISTT: LODHRAN.</t>
  </si>
  <si>
    <t>KM40 KHW/LODHRAN RDMOUZA RUKUN PURVEHARI</t>
  </si>
  <si>
    <t>TIBBA MAILSI ROADCHAK # 143/W.B MAILSIVEHARI</t>
  </si>
  <si>
    <t>FROM RAILWAY ROADCROSSING ON KAROR ROADLODHRAN</t>
  </si>
  <si>
    <t>KAROR PACCADISTT MULTAN</t>
  </si>
  <si>
    <t>LODHRAN BYE PASS ROAD (N-5) AT</t>
  </si>
  <si>
    <t>PSO  RETAIL DEALERSLODHRAN DIST MULTAN</t>
  </si>
  <si>
    <t>HASILPUR/CHONA WALA RDCHAK NO 160/MURADBAHAWALPUR</t>
  </si>
  <si>
    <t>MOUZA GOTH JHUMARKHIRPUR TAMEWALIBHAWALPUR</t>
  </si>
  <si>
    <t>LAL SAGU DAKOTA ROADCHAK NO 231/WBLODHRAN</t>
  </si>
  <si>
    <t>MOUZA TIBBI GHAFARKHAIRPUR TANNE WALIBAHAWALPUR</t>
  </si>
  <si>
    <t>HASILPUR ROADMOUZA CHANIPURB.PUR</t>
  </si>
  <si>
    <t>ON MULTAN DUNYAPVR RD.CHAK # 339 WBLODHRANDUNYAPUR</t>
  </si>
  <si>
    <t>KM12/13 Q-PUR/JAMPURBAK RD CHAK CHAUDHRIANBAHWALPU</t>
  </si>
  <si>
    <t>MAUZA KHANPURMULTAN</t>
  </si>
  <si>
    <t>IN KM 1, ON LAL SAGU ROAD DUNYAPUR CITY</t>
  </si>
  <si>
    <t>KM 1 FROM DUNYAPUR ONKAROR PACCA ROAD MOUZADUNYAPU</t>
  </si>
  <si>
    <t>KM NO 1 BASIT MALOOKMAUZA DUNYAPURLODHRAN</t>
  </si>
  <si>
    <t>B/W 702 - 703 ON NATIONAL HIGHWAY AT</t>
  </si>
  <si>
    <t>KEHROR PACCA LODHRANMAUZA DHANOTLODHRAN</t>
  </si>
  <si>
    <t>KM-99 KHANEWAL LODHRANRD MOUZA THADDA DISTT: LODHRAN.</t>
  </si>
  <si>
    <t>KM 851-852 FROM KHANEWAL LODHRAN ROAD TEH.DISTRIXC</t>
  </si>
  <si>
    <t>ATIONAL H.WAY        BAHAWALPUR MULTAN     CHK NO.</t>
  </si>
  <si>
    <t>BETWEEN KHANEWAL-LODHRAN RD AT TANDATAHDA TAHEEM L</t>
  </si>
  <si>
    <t>KLP RD SEC LODHRAN KWLDUNYAPUR SHARQILODHRAN</t>
  </si>
  <si>
    <t>KM 92 MULTAN/BWP ROADMOUZA BINDRABAHAWALPUR</t>
  </si>
  <si>
    <t>BAHAWALPUR MULTANROAD, AT MOUZA BI</t>
  </si>
  <si>
    <t>31/32KM OF STATE H-WAYCHAK NO 38/BCBAHAWALPUR</t>
  </si>
  <si>
    <t>BASTI MALUKCHAK-3570WB LODHRANMULTAN</t>
  </si>
  <si>
    <t>DUNYPUR-KAROPACCA ROADALI PUR KANJOO MULTAN</t>
  </si>
  <si>
    <t>CHOWK PEMITMAUZA SUMRANATIONAL H/W MULTAN</t>
  </si>
  <si>
    <t>KM 887-878 ON N.H.WAY(N-5) AT MOUZA ALIASAR TEHSIL</t>
  </si>
  <si>
    <t>KM 11-12 CHAK 25/BC</t>
  </si>
  <si>
    <t>ON LODHRAN MULTAN ROAD (N-5)</t>
  </si>
  <si>
    <t>KM 829 ON PAKISTANHIGHWAY MOUZA KHAIRAHTEH.AHMEDPU</t>
  </si>
  <si>
    <t>CHOWK FAWARABAHAWALPUR</t>
  </si>
  <si>
    <t>ABDUL GHAFOORPSO  RETAIL DEALERO/SIDE FARID GATEDI</t>
  </si>
  <si>
    <t>BHAWALPURDISTT BAHAWALPUR</t>
  </si>
  <si>
    <t>K.L.P ROAD</t>
  </si>
  <si>
    <t>KM NO 812813 ON KLP ROAD (N-5) AT</t>
  </si>
  <si>
    <t>ON BAHAWALPUR AHMEDPUR ROAD AT QASIM BAGHMODEL TOW</t>
  </si>
  <si>
    <t>5/6 BWP/HASIL PUR ROADCHAK NO 9/B.CBAHAWALPUR</t>
  </si>
  <si>
    <t>SAMA SATTA FATOO RDMOUZA FATOWALIBWP.</t>
  </si>
  <si>
    <t>KM 879/880 N/H MXC BWPSEC MOUZA JALLA ARAINLODHRAN</t>
  </si>
  <si>
    <t>MILE 7/4-5 AHMED-P-ERDSAMASTTA BAHAWALPUR</t>
  </si>
  <si>
    <t>KM-850/851 N-H-WAYMZA WALISLAN BAHAWALPUR.</t>
  </si>
  <si>
    <t>KHANKAH  SHARIFBAHAWALPUR</t>
  </si>
  <si>
    <t>KM-828/829 KNANKASHRIFN/H WAY BHAWALPUR</t>
  </si>
  <si>
    <t>MZA CHAMB KALYARTEH LODHRAN MULTAN</t>
  </si>
  <si>
    <t>KM-19 AHMEDPUR UCH SHRRD MZUCH GILLANIBAHAWALPURBA</t>
  </si>
  <si>
    <t>KM 10 ON AHMEDPUR EASTHEAD RAJAKAN ROAD ATCHAK 47</t>
  </si>
  <si>
    <t>7 FROM YAZMAN TAILWALROAD AT 106BAHAWALPUR</t>
  </si>
  <si>
    <t>NATIONAL HIGHWAY K#670/595</t>
  </si>
  <si>
    <t>MIANWALI QURESHIAN,</t>
  </si>
  <si>
    <t>NEAR COCO COLA FACTORY</t>
  </si>
  <si>
    <t>ON KLP ROAD AT MOUZA GHANAIR ZAHIRPIR TEHSIL KHANPUR</t>
  </si>
  <si>
    <t>CHAK NO-1/DNB YAZMANBAHAWALPUR</t>
  </si>
  <si>
    <t>12 KM MEHRAB WALA 1.0KM SOHAIL COTTON FACT.YAZMAN</t>
  </si>
  <si>
    <t>KM# 772-773 OF N/HIGHWAY AT MOUZA CH# 53/ATEH.LIQA</t>
  </si>
  <si>
    <t>PSO RETAIL DEALERTRINDA MOHD PANNAHDISTT RAHIMYAR</t>
  </si>
  <si>
    <t>NEAR AHMEDPUR BY PASS AHMEDPUR</t>
  </si>
  <si>
    <t>N/H WAY DERA JETHANRUM LIAQATPURR Y KHAN</t>
  </si>
  <si>
    <t>KM# 690-691, KLP ROAD SARDAR</t>
  </si>
  <si>
    <t>KM-24/25 SRG ROADRAHIMABAD SADIKABADDISTT RAHIMYAR</t>
  </si>
  <si>
    <t>IN KM NO.1 ON SWETRA- DAUWALA-GUDDU ROAD, MAUZA MITHA DANDAM</t>
  </si>
  <si>
    <t>KM-N-H/WMZAGALLANIBAHAWALPUR</t>
  </si>
  <si>
    <t>B/W KM NO. 15-16, ON SADIQABAD</t>
  </si>
  <si>
    <t>KM 1 ON SADIQABAD DISTT</t>
  </si>
  <si>
    <t>RYK.SHAHBAZPUR ROADMOUZA MOHAMMAD NAWAZWARSA R.Y.K</t>
  </si>
  <si>
    <t>SADIQABAD BY-PASSMOUZA AMID ALIRAHIMYA</t>
  </si>
  <si>
    <t>KM# 640-641 NATIONALHIGHWAY SADIQABADBYPASSSADIQAB</t>
  </si>
  <si>
    <t>KM11/12 SDB/J-DIN WALIRD MOUZA KOT MEHTABRAHMIRKHA</t>
  </si>
  <si>
    <t>CHACHA BASTI CHOWK AHMEDPUR EAST DIST BWP.</t>
  </si>
  <si>
    <t>B'PUR ROAD TOWNAHMAD PUR BHAWALPUR</t>
  </si>
  <si>
    <t>KLP ROAD</t>
  </si>
  <si>
    <t>MOUZA FATEH PUR KAMALRAHIMYAR KHAN</t>
  </si>
  <si>
    <t>MZA KHUDA BAKASH DAHARSADIQABAD R Y KHAN</t>
  </si>
  <si>
    <t>BW KM 620-621 N.H.WAYCHAK NO 44/NPRAHIMYAR KHAN</t>
  </si>
  <si>
    <t>CHAK-NO-197-P SAD-TGANG R-Y KHAN</t>
  </si>
  <si>
    <t>KM614/615 N.H.WAYGOTHAALOO KOT SABZALRAHIMYAR KHAN</t>
  </si>
  <si>
    <t>SERVICE -- B/W KM #752-3 OF KLP RO</t>
  </si>
  <si>
    <t>KM 753-754 OF N.H.WAYAT MOUZA KACHI M.KHANLIAQUATR</t>
  </si>
  <si>
    <t>PSO  RETAIL DEALERNEAR BUS STANDKHANPURDIST RAHIMY</t>
  </si>
  <si>
    <t>KM 145/146 SHAHI ROADMOUZA KHANPURRAHIMYARKHAN</t>
  </si>
  <si>
    <t>SERVICE - KM NO 01-02OF ZAHIRPIR BYPASSNATIONAL HI</t>
  </si>
  <si>
    <t>KM 714-715 OF N.H.WAYAT MOUZA MOHALR.Y.KHAN</t>
  </si>
  <si>
    <t>B/W KM NO 705-706 OF NATIONAL</t>
  </si>
  <si>
    <t>KM-100 SHAHI ROADMAUZA CHAUDHRY L-PURR Y KHAN</t>
  </si>
  <si>
    <t>KM726-727BN.H.WAYMOUZA CHANJNIRAHIMYARKHAN</t>
  </si>
  <si>
    <t>N.H.WAY KHAN BELAMOUZA CHANJNI LIQT PURR Y KHAN</t>
  </si>
  <si>
    <t>NAT/H/W KM-621-622 GHAMI ZAFARABAD KLP ROAD SAJIR PUR RYK.</t>
  </si>
  <si>
    <t>KM-96-97 SHAHI ROADMOUZA CHAUDHARY L.PURRAHIMYARKH</t>
  </si>
  <si>
    <t>KHANPUR-NAWAKOT ROADMOUZA LALOORAHIMYARKHAN</t>
  </si>
  <si>
    <t>ON KLP ROAD (N-5) AT MOUZA PIR</t>
  </si>
  <si>
    <t>KM 608 -609 OF N.H.WAYMOUZA PIR AHMED ABADR.Y.KHAN</t>
  </si>
  <si>
    <t>NO-5-MPTEH SADIQABADDIST RAHIMYAR KHAN</t>
  </si>
  <si>
    <t>PSO  RETAIL DEALERNEAR CHOWK BAHADUR PURSHAKEELABA</t>
  </si>
  <si>
    <t>MO WAHID BAKHSH SAYALNEAR JETHA BHUTTAR YAR KHAN</t>
  </si>
  <si>
    <t>KHAN GULMERG ROADCHOK ABU DHABIR.Y.KHAN</t>
  </si>
  <si>
    <t>SERVICEPSO  RETAIL DEALERRAHIM YAR KHAN</t>
  </si>
  <si>
    <t>SHAHRAH-E-SHAIKH ZAIDRAHIM YAR KHAN</t>
  </si>
  <si>
    <t>ON AIRPORT ROAD RAHIM-YAR KHAN CITYR.Y.KHAN</t>
  </si>
  <si>
    <t>PSO PETROL PUMPSHAHI ROAD  R Y KHANDISTT RAHIMYAR</t>
  </si>
  <si>
    <t>MAZA PHULLO LOLAIKHANPUR R Y KHAN</t>
  </si>
  <si>
    <t>DISTRICT COUNCIL ROADRAHIMYAR KHAN</t>
  </si>
  <si>
    <t>FATHPURDISTT RAHIMYARKHAN</t>
  </si>
  <si>
    <t>KM-1 BYEPASS ROADMOUZA KOT DARYARAHIMYARKHAN</t>
  </si>
  <si>
    <t>KHANPUR BYEPASS ROADMOUZA KATACHI JAMALRAHIMYARKHA</t>
  </si>
  <si>
    <t>KATCHI JAMALKHANPURDIST RAHIMYAR KHAN</t>
  </si>
  <si>
    <t>NATIONAL HIGHWAYMIANWALI QURESHIANDISTT RAHIMYAR K</t>
  </si>
  <si>
    <t>KHANPUR FEROZA ROADMOUZA FEROZAR.Y.KHAN</t>
  </si>
  <si>
    <t>ADDA SHEIKH WAIN</t>
  </si>
  <si>
    <t>KM1/2 CCHRAN RD SARDARGARH MOUZA MURAD PURRAHIMYAR</t>
  </si>
  <si>
    <t>BHYUTTA KOT KLP ROAD KM# 597</t>
  </si>
  <si>
    <t>KM 8-9 ON SHAHRA-E-SHAEIKH ZAID AT CHAK</t>
  </si>
  <si>
    <t>KHANPUR/BAGHOBAHAR RDMOZ NEAL GARH KHANPURRAHIMYAR</t>
  </si>
  <si>
    <t>MOUZA MOOSA KANJOOKHANPUR R.Y.KHAN</t>
  </si>
  <si>
    <t>KHANPUR SARDAR GARH RDMOUZA PIRAN BALUCHRAHIM-YAR-</t>
  </si>
  <si>
    <t>KM 7/8 RYK/HJS ROADCHAK NO 107/PRAHIMYARKHAN</t>
  </si>
  <si>
    <t>IMAM NAGAR RD MAUZARAJANPUR KHURED RYK.</t>
  </si>
  <si>
    <t>KHANPUR BAGHO BHAR RDMZ SHAH MOHD MARRALR.YAR-KHAN</t>
  </si>
  <si>
    <t>KM 704-705, KLP ROAD, MOUZA MOSAIB  LOLAI</t>
  </si>
  <si>
    <t>MITHARA ROADCHAK NO 8/DRB YAZMANBAHAWALPUR</t>
  </si>
  <si>
    <t>KM 5 N YAZMAN KUDWALAROAD AT CHAK 88/DBTEHSIL YAZM</t>
  </si>
  <si>
    <t>IN KM NO.5 ON BAHAWALPYAZMAN ROAD AT CHAK NOA/BC B</t>
  </si>
  <si>
    <t>61 ON STATE H/WAYSECTOR BAHAWAL PURHASILPUR ROAD M</t>
  </si>
  <si>
    <t>GARH MOREDISTT VEHARI</t>
  </si>
  <si>
    <t>TIBBA SUL-PUR LUDDN RDMAUZA MITROVIHARI</t>
  </si>
  <si>
    <t>KHANEWAL</t>
  </si>
  <si>
    <t>KHAIRPUR</t>
  </si>
  <si>
    <t>BAHAWALNAGAR</t>
  </si>
  <si>
    <t>NEW REHMAN F/S</t>
  </si>
  <si>
    <t>B/W KM NO. 175/176 OF SHAHI ROAD AT TARANDA SAWAYA KHAN RAHIMYAR KHAN</t>
  </si>
  <si>
    <t>MAQBOOL P/S</t>
  </si>
  <si>
    <t>ON HASILPUR CHISTIAN ROAD AT CHAK NO. 60-61/F TEHSIL HASILPUR</t>
  </si>
  <si>
    <t>NAWAB P/S</t>
  </si>
  <si>
    <t>NEW A-1 GAS STATION</t>
  </si>
  <si>
    <t>LODHRAN SHUJABAD ROAD AT MOUZA SIDHA GALIWALA</t>
  </si>
  <si>
    <t>KHODWALA BANG-CHK68/DB BAHAWALPUR</t>
  </si>
  <si>
    <t>AHMED PETROLEUM SERVICE</t>
  </si>
  <si>
    <t>AL - NOOR P/S</t>
  </si>
  <si>
    <t>UMER ABBAS P/S</t>
  </si>
  <si>
    <t>ON SADIQ ABAD - MANTHAR ROAD AT MOUZA CHANDRANI TEHSIL SADIQABAD RAHIM YAR KHAN</t>
  </si>
  <si>
    <t>JUNAID F/S</t>
  </si>
  <si>
    <t>B/W KM NO. 16-17 ON AKRAMABD AMALDIN WALI ROAD AT MOUZA ROUTI</t>
  </si>
  <si>
    <t>KM 783-784 ON KLP ROAD (N-5) AT MAUZA INAYATPUR TEHSIL AHMEDPUR</t>
  </si>
  <si>
    <t>ROHI P/S</t>
  </si>
  <si>
    <t>MOUZA HAFIZ MUHAMMAD WALA LODHRAN JALAL PUR PIRWALA ROAD</t>
  </si>
  <si>
    <t>LIBRA GAS STATION</t>
  </si>
  <si>
    <t>BHAWALPUR MULTAN ROAD (N5) AT MAUZA ADAM WAHAN TEHSIL</t>
  </si>
  <si>
    <t>ITTEHAD P/S</t>
  </si>
  <si>
    <t>ON RAHIMYAR KHAN KHAN PUR KOT SAMABAD RAHIM YAR KHAN</t>
  </si>
  <si>
    <t>CHAND F/S</t>
  </si>
  <si>
    <t>B/W KM 697/698 KLP ROAD AT MAUZA MIANWALI SHEIKHAN</t>
  </si>
  <si>
    <t>REHMAT P/S</t>
  </si>
  <si>
    <t>AL-HAMD FILLING STATION</t>
  </si>
  <si>
    <t>ON TRANDA MUHAMMAD PANHA HEAD PUNJNAD ROAD MAUZA RAJAR HOO BAHWALPUR</t>
  </si>
  <si>
    <t>SUPER AL - FAREED P/S</t>
  </si>
  <si>
    <t>ON KHANPUR ZAHIRPIR ROAD RAHIMYAR KHAN BAHWALPUR</t>
  </si>
  <si>
    <t>ALI HAMZA P/S</t>
  </si>
  <si>
    <t>UCH SHARIF AHMED PUR EAST</t>
  </si>
  <si>
    <t>HASSAN F/S</t>
  </si>
  <si>
    <t>RAILWAY ROAD AHMED PUR EAST</t>
  </si>
  <si>
    <t>MOON CHEEMA F/S</t>
  </si>
  <si>
    <t>SADIQABAD CITY  DISTRICT- RAHIM YAR KHAN</t>
  </si>
  <si>
    <t>AL AZIZ P/S</t>
  </si>
  <si>
    <t>NIAZ P/S</t>
  </si>
  <si>
    <t>NATIONAL HIGHWAY (N-5) MAUZA KHUDA BAKHSH DAHAR RAHIM YAR KHAN</t>
  </si>
  <si>
    <t>KM 16-17 OF SADIQ ABAD MANTHAR AT CHAK NO.143/P TEHSIL &amp; DIST RAHIM YAR KHAN</t>
  </si>
  <si>
    <t>AFZAL P/S</t>
  </si>
  <si>
    <t>ABBASIA ROAD LIAQUATPUR RAHIMYAR KHAN</t>
  </si>
  <si>
    <t>WARRAICH P/S</t>
  </si>
  <si>
    <t xml:space="preserve">NHA MOUZA CHANJI MQUATPUR </t>
  </si>
  <si>
    <t>FAHAD P/S</t>
  </si>
  <si>
    <t>SADIQABAD CITY DISTT RAHIM YAR KHAN</t>
  </si>
  <si>
    <t>A &amp; M P/S</t>
  </si>
  <si>
    <t>492 SHAH ROAD RAHIM YAR KHAN</t>
  </si>
  <si>
    <t>SHATAB GARH P/S</t>
  </si>
  <si>
    <t>SOUTH P/S</t>
  </si>
  <si>
    <t>KHURSHID P/S</t>
  </si>
  <si>
    <t>BASRA PET SERVICE</t>
  </si>
  <si>
    <t>REHMAN FILLING STATION</t>
  </si>
  <si>
    <t>BLUE SKY P/S</t>
  </si>
  <si>
    <t>FIRDOUS P/S</t>
  </si>
  <si>
    <t>FAISAL P/S</t>
  </si>
  <si>
    <t>KHALID WARRAICH P/S</t>
  </si>
  <si>
    <t>AMIR NIAZI P/S</t>
  </si>
  <si>
    <t>FIDA P/S</t>
  </si>
  <si>
    <t>CITY GAS F/S</t>
  </si>
  <si>
    <t>KAROR PACCA ROAD LODHRAN</t>
  </si>
  <si>
    <t>KLP ROAD (N-5) AT CHAK NO 6/NP TEHSIL SADIQABAD</t>
  </si>
  <si>
    <t>ALI AKBAR F/S</t>
  </si>
  <si>
    <t>ON ALI PUR ROAD UCH SHARIF DIST- BAHAWALPUR ROAD</t>
  </si>
  <si>
    <t>NIAZ A GHAFOOR P/S</t>
  </si>
  <si>
    <t>ALI SHAN F/S</t>
  </si>
  <si>
    <t>SADIQABAD CITY RAHIM YAR KHAN</t>
  </si>
  <si>
    <t>AT KM NO.15 ON TIBBA SULTAN PUR MAILSI ROAD AT CHAK NO.195/WB DAKOTA TEHSIL MAILSI</t>
  </si>
  <si>
    <t>USMAN BROTHERS F/S</t>
  </si>
  <si>
    <t>KM#65,KHANEWAL LODHRAN ROAD.E5 CHAK # 327/WB,TEHSIL DUNYAPUR</t>
  </si>
  <si>
    <t>ASAD GHAFFAR P/S</t>
  </si>
  <si>
    <t>JHANGHI WALA ROAD MAUZA DARWAISH MUHAMMAD BHAWALPUR</t>
  </si>
  <si>
    <t>AL - SYED P/S</t>
  </si>
  <si>
    <t>MAILSI MULTAN ROAD AT MOUZA DEH</t>
  </si>
  <si>
    <t>AFZAL HAMDANI F/S</t>
  </si>
  <si>
    <t>ON ABU DHABI ROAD MAUZA ALI AKBAR SANGI RAHIM YAR KHAN</t>
  </si>
  <si>
    <t>PRINCE P/S</t>
  </si>
  <si>
    <t>KLP ROAD MAHAL BAHADURPUR</t>
  </si>
  <si>
    <t>AL MAKKAH ONE P/S</t>
  </si>
  <si>
    <t>SHAHI ROAD LIAQUAT PUR</t>
  </si>
  <si>
    <t>AL NUSRAT P/S</t>
  </si>
  <si>
    <t xml:space="preserve"> KHANPUR RAHIMYAR KHAN ROAD NEAR WAHI JAMMAN SHAH RAHIMYAR KHAN</t>
  </si>
  <si>
    <t>IRFAN P S</t>
  </si>
  <si>
    <t>AHMEDPUR EAST</t>
  </si>
  <si>
    <t>GRAIN MARKET ROAD, AHMED PUR EAST</t>
  </si>
  <si>
    <t>PAKISTAN P S</t>
  </si>
  <si>
    <t>MAUZA HAYAT LAR, SHAHI ROAD FEROZA, LIAQUAT PUR DISTT RAHIM YAR KHAN</t>
  </si>
  <si>
    <t>WARRIACH P S</t>
  </si>
  <si>
    <t>CHAK NO. 44/DNB, TEHSIL YAZMAN</t>
  </si>
  <si>
    <t xml:space="preserve"> KM NO. 682-683, NATIONAL HIGHWAY MAUZA MUHAMMAD PUR GANGA</t>
  </si>
  <si>
    <t>MUNIR &amp; SONS</t>
  </si>
  <si>
    <t>SHAHI ROAD, MAUZA HAKRA TEHSIL KHAN PUR, DISTRICT RAHIM YAR KHAN</t>
  </si>
  <si>
    <t>NEW ALI AKBAR P S</t>
  </si>
  <si>
    <t>NATIONAL HIGHWAY, KM NO. 750-751 MAUZA MALIK PUR, TEHSIL LIAQUATPUR. RAHIM YAR KHAN AHMEDPUR EAST</t>
  </si>
  <si>
    <t>AL-ABBAS PETROLEUM SERVICE</t>
  </si>
  <si>
    <t>KHANEWAL- LODHRAN ROAD (N-5) CHAK NO. 28/M TEHSIL DUNYAPUR</t>
  </si>
  <si>
    <t>CHANN GOTH AHMED PUR EAST BAHAWALPUR</t>
  </si>
  <si>
    <t>OPPOSITE GENERAL BUS STAND</t>
  </si>
  <si>
    <t>AHMEDPUR ROAD HEAD RAJKHAN CHACK NO. 113/DNB BAHALWALPUR YAZMAN</t>
  </si>
  <si>
    <t>HASSAN TARIQ P/S</t>
  </si>
  <si>
    <t>KHUTHRI BANGLOW, YAZMAN BAHAWALPUR</t>
  </si>
  <si>
    <t>DISTRICT</t>
  </si>
  <si>
    <t>LIAQUAT PUR</t>
  </si>
  <si>
    <t>KHANPUR</t>
  </si>
  <si>
    <t xml:space="preserve">VEHARI </t>
  </si>
  <si>
    <t>Vehari</t>
  </si>
  <si>
    <t>YAZMAN</t>
  </si>
  <si>
    <t>DIST RAHIMYAR KHAN</t>
  </si>
  <si>
    <t>HASILPUR</t>
  </si>
  <si>
    <t>Lodhran</t>
  </si>
  <si>
    <t>DUNIA PUR</t>
  </si>
  <si>
    <t xml:space="preserve">CITY </t>
  </si>
  <si>
    <t>KM 847,848 N-5, MAUZA KHANUWALI BAHAWLAPUR</t>
  </si>
  <si>
    <t>AL-SADIQ PET SERVICE</t>
  </si>
  <si>
    <t>GONDAL PETROLEUM SERVICE</t>
  </si>
  <si>
    <t>NEW YAZMAN PETROLEUM SERVICE</t>
  </si>
  <si>
    <t>Province</t>
  </si>
  <si>
    <t>TAILWALA-YAZMAN ROAD CHAK NO 102/DB. YAZMAN BAHAWALPUR</t>
  </si>
  <si>
    <t>QURESHI P S</t>
  </si>
  <si>
    <t>(N-5) , MAUZA MEHMOOD ABAD AHMED PUR EAST DISTRICT BAHAWALPUR</t>
  </si>
  <si>
    <t>NATIONAL HIGHWAY, ZAFFAR ABAD TEHSIL LIAQUAT PUR RAHIM YAR KHAN</t>
  </si>
  <si>
    <t>CHAK NO. 173/P TEHSIL SADIQABAD RAHIM YAR KHAN</t>
  </si>
  <si>
    <t>QUICKWAY SER STATION</t>
  </si>
  <si>
    <t>CHOWK-FAWARA BAHA PURDIST BAHAWALPUR</t>
  </si>
  <si>
    <t>RANJHAY KHAN KLP ROAD RAHIM YAR KHAN SADIQABAD</t>
  </si>
  <si>
    <t>DHA FILLING STATION</t>
  </si>
  <si>
    <t>AKRAM ABAD KLP ROAD RAHIM YAR KHAN</t>
  </si>
  <si>
    <t>0.8 KM FROM ABBASIA CHOWK MEHRABWALA  AHMED PUR EAST BHAWALPUR</t>
  </si>
  <si>
    <t>PUNJAB</t>
  </si>
  <si>
    <t>KHAN PUR - BAGHO BAHAR ROAD MAUZA MUD ILYAS RAHIM YAR KHAN</t>
  </si>
  <si>
    <t>ZAHIR PIR</t>
  </si>
  <si>
    <t>FAHEEM P/S</t>
  </si>
  <si>
    <t>SARDARGARH KLP ROAD RAHIM YAR KHAN</t>
  </si>
  <si>
    <t>SHER SHAH PETROLEUM SERVICE</t>
  </si>
  <si>
    <t>KHAN PUR ROAD RAHIM YAR KHAN</t>
  </si>
  <si>
    <t>CHOWK BAHADUR PUR KLP ROAD RAHIM YAR KHAN</t>
  </si>
  <si>
    <t xml:space="preserve">RAHIMYARKHAN </t>
  </si>
  <si>
    <t xml:space="preserve">RAILWLAY ROAD RAHIMYARKHAN </t>
  </si>
  <si>
    <t>SHAHBAZ PUR ROAD FACTORY AREA RAHIM YAR KHAN</t>
  </si>
  <si>
    <t>DANIYAL P/S</t>
  </si>
  <si>
    <t>IN KM 824 NHW(N-5), MOUZA HABIB MISSAN MUSAFIR KHANA BAHAWALPUR</t>
  </si>
  <si>
    <t>BYPASS ROAD TEHSIL &amp; DISTRICT RAHIM YAR KHAN</t>
  </si>
  <si>
    <t>KLP ROAD  ADDA BOARD TARANDAH MUHAMMAD PANAH BAHAWALPUR</t>
  </si>
  <si>
    <t>ABUDHABI PETROLEUM SERVICE</t>
  </si>
  <si>
    <t>PALACE ROAD DARISANGHI TEHSIL &amp; DISTRICT RAHIMYARKHAN</t>
  </si>
  <si>
    <t>SADIQ ABAD CITY DISTRICT RAHIM YAR KHAN</t>
  </si>
  <si>
    <t>ALI HUSSAIN PETROLEUM SERVICE</t>
  </si>
  <si>
    <t>UCH SHARIF</t>
  </si>
  <si>
    <t>T.M.P - HEAD PUNJNAD ROAD ADJACENT M-4, UCH SHARIF INTERCHANGE BAHAWALPUR</t>
  </si>
  <si>
    <t>GHAUS BASHIR P S</t>
  </si>
  <si>
    <t>MAUZA JAMAL DEEN WALI TEHSIL SADIQABAD DISTRICT RAHIM YAR KHAN SADIQABAD</t>
  </si>
  <si>
    <t>NEW AFRIDI FILLING STATION</t>
  </si>
  <si>
    <t>LODHRAN - KHANEWAL ROAD, MAUZA RUKAN PUR, DISTRICT LODHRAN</t>
  </si>
  <si>
    <t>CHOKIWALA INAYATI MAUZA ROKRANI TEHSIL KHAIRPUR TAMIWALI BAHAWALPUR KHAIRPUR</t>
  </si>
  <si>
    <t>HASILPUR ROAD KHAIRPUR TAMIWALI BAHAWALPUR KHAIRPUR</t>
  </si>
  <si>
    <t>HAIDER P S</t>
  </si>
  <si>
    <t>GULSHAN IQBAL, SHAHI ROAD RAHIM YAR KHAN</t>
  </si>
  <si>
    <t>TAHSEEN FOUR PETROLEUM SERVICE</t>
  </si>
  <si>
    <t>MATILA CHOWK</t>
  </si>
  <si>
    <t>TIBA SULTAN PUR MULTAN-VEHARI ROAD VEHARI MATILA CHOWK</t>
  </si>
  <si>
    <t>CHAK NO.5/BC HASILPUR ROAD, DERA BHAKHA BAHAWALPUR</t>
  </si>
  <si>
    <t>COST CENTER</t>
  </si>
  <si>
    <t>CHAK NO.56/DB, YAZMAN BAHAWALPUR</t>
  </si>
  <si>
    <t>Latitude</t>
  </si>
  <si>
    <t>Longitude</t>
  </si>
  <si>
    <t>ROHI YAZMAN P S</t>
  </si>
  <si>
    <t>CHAK NO. 108/ DB, CHANDNI CHOWK DISTRICT BAHAWALPUR</t>
  </si>
  <si>
    <t>CHAUDHARY BROS FILLING STATION</t>
  </si>
  <si>
    <t>BY PASS ROAD SADIQABAD RAHIM YAR KHAN</t>
  </si>
  <si>
    <t>HAFEEZ PET SERVICE</t>
  </si>
  <si>
    <t>RAHMAN PETROLEUM SERVICE</t>
  </si>
  <si>
    <t>AHMED PETROLEUM SERVICE2</t>
  </si>
  <si>
    <t>AL MUNEER P/S</t>
  </si>
  <si>
    <t>MIAN BROTHERS F S</t>
  </si>
  <si>
    <t>SAHER PETROLEUM SERVICE</t>
  </si>
  <si>
    <t>NEW BILAL P/S</t>
  </si>
  <si>
    <t>AL MADINA F/S</t>
  </si>
  <si>
    <t>AHMAD PS</t>
  </si>
  <si>
    <t>BUKHARI FILLING STATION</t>
  </si>
  <si>
    <t>FAIRWAYS P/S</t>
  </si>
  <si>
    <t>AMEEN BROS PS</t>
  </si>
  <si>
    <t>MANTHAR PETROLEUM SERVICE</t>
  </si>
  <si>
    <t>MIAN BROTHERS FS</t>
  </si>
  <si>
    <t>KHYBER PETROLEUM SERVICE</t>
  </si>
  <si>
    <t>AL AMIN F S</t>
  </si>
  <si>
    <t>GHAZI FS</t>
  </si>
  <si>
    <t>HNR PETROLEUM SERVICE</t>
  </si>
  <si>
    <t>INDUS PETROLEUM SERVICE</t>
  </si>
  <si>
    <t>YAZMAN PETROLEUM SERVICE</t>
  </si>
  <si>
    <t>GREEN VILLAGE PETROLEUM  SERVICE</t>
  </si>
  <si>
    <t>MISSAN PETROLEUM SERVICE</t>
  </si>
  <si>
    <t>ISMAIL P/S</t>
  </si>
  <si>
    <t>A ONE WAZIRISTAN PETROLEUM SERVICE</t>
  </si>
  <si>
    <t>KHALIDMAHMOOD &amp; CO</t>
  </si>
  <si>
    <t>KHAN DRAZ F-S</t>
  </si>
  <si>
    <t>AFZAL SHAH F/S</t>
  </si>
  <si>
    <t>RANDHAWA P/S</t>
  </si>
  <si>
    <t>CHAUDHARY F/S</t>
  </si>
  <si>
    <t>HAJI NAZAR KHAN MAUSA KHAIL PET SER</t>
  </si>
  <si>
    <t>REHMAN BROS P/S</t>
  </si>
  <si>
    <t>FOUR STAR F/S</t>
  </si>
  <si>
    <t>JINNAH P/S</t>
  </si>
  <si>
    <t>ZEESHAN P/S</t>
  </si>
  <si>
    <t>AHSAN P/S</t>
  </si>
  <si>
    <t>NEW BAJWA BROS P/S</t>
  </si>
  <si>
    <t>ATTA P S</t>
  </si>
  <si>
    <t>AL SAUDIA PETROLEUM SERVICE</t>
  </si>
  <si>
    <t>SITARA KAMARYAL P/S</t>
  </si>
  <si>
    <t>AL FAREED P/S</t>
  </si>
  <si>
    <t>MUKHTAR GILLANI P/S</t>
  </si>
  <si>
    <t>GULISTAN P/S</t>
  </si>
  <si>
    <t>AFZAL BROTHER P S</t>
  </si>
  <si>
    <t>ROAD KING PETROLEUM PRIVATE LIMITED</t>
  </si>
  <si>
    <t>MASHA ALLAH F/STN</t>
  </si>
  <si>
    <t>AFZAL WARRAICH PETROLEUM SERVICE</t>
  </si>
  <si>
    <t>FAISALABAD F/S</t>
  </si>
  <si>
    <t>AL-MEEZAN FILLING STATION</t>
  </si>
  <si>
    <t>ZAM ZAM P S</t>
  </si>
  <si>
    <t>AHMEDPUR PS</t>
  </si>
  <si>
    <t>LIAQAT PUR</t>
  </si>
  <si>
    <t>MOUZA RASHID ABAD LIAQAT PUR TO RYK  SHAHI ROAD RAHIMYAR KHAN LIAQAT PUR</t>
  </si>
  <si>
    <t>AL FATAH P/S</t>
  </si>
  <si>
    <t>CHAK NO 42/DB YAZMAN ROAD BAHAWALPUR</t>
  </si>
  <si>
    <t>YAZMAN ROAD SHAHIWALA, CHAK 47 AHMEDPUR EAST</t>
  </si>
  <si>
    <t>ESSA FILLING STATION</t>
  </si>
  <si>
    <t>MAKHDOOM  AALI LODHRAN KM 888-889 N/HIGHWAY</t>
  </si>
  <si>
    <t>MAIN BULEVARD ROUND ABOUT DHA BAHAWALPUR</t>
  </si>
  <si>
    <t>KHANEWAL LODHRAN ROAD NEAR SUPER CHOWK, DUNYAPUR DUNYAPUR PETROLEUM SERVICE</t>
  </si>
  <si>
    <t>RAJA PETROLEUM SERVICE</t>
  </si>
  <si>
    <t>RAILWAY ROAD  MODEL TOWN-A BAHAWALPUR</t>
  </si>
  <si>
    <t>ITTEHAD PETROLEUM SERVICE</t>
  </si>
  <si>
    <t>SHAHI BAZAR ROAD RAHIMYAR KHAN</t>
  </si>
  <si>
    <t>MOUZA BHUTAJEY, TEHSIL LODHRAN JALAL PUR PIR WALA ROAD</t>
  </si>
  <si>
    <t>ALONG SIDE SADIQ CANAL CHAK NO. 111/P RAHIM YAR KHAN</t>
  </si>
  <si>
    <t>KHALID MODERN FILLING STATION</t>
  </si>
  <si>
    <t>KM-4, VEHARI ROAD HASILPUR BAHAWALPUR</t>
  </si>
  <si>
    <t>RAMZAN F/S</t>
  </si>
  <si>
    <t>CHAK # 26/NP SADIQABAD-JAMALDIN WALI ROAD RAHIM YAR KHAN SADIQABAD</t>
  </si>
  <si>
    <t>TEHSIL SADIQ ABAD KLP ROAD (N-5) AT MAUZA UMAID ALI BHAIT RAHIM YAR KHAN</t>
  </si>
  <si>
    <t>EMARATS PETROLEUM SERVICE</t>
  </si>
  <si>
    <t>SHEIKH ZAID AT CHAK NO.55/P B/W KM 18-19 OF SHAHRAH-E- RAHIM YAR KHAN</t>
  </si>
  <si>
    <t>GORAYA PS</t>
  </si>
  <si>
    <t>SAMASATA ROAD GHANIPUR RAILWAY STATION BAHAWALPUR</t>
  </si>
  <si>
    <t>CHAK # 113/P MANTHAR ROAD RAHIM YAR KHAN</t>
  </si>
  <si>
    <t>BY PASS SADIQABAD RAHIM YAR KHAN</t>
  </si>
  <si>
    <t>KM 805-806 N-5 AHMEDPUR EAST MOUZA IMMAMU ARAIN BAHAWALPUR</t>
  </si>
  <si>
    <t>KHAWAJA 1 P/S</t>
  </si>
  <si>
    <t>KHANEWAL-LODHRAN ROAD CHAK NO.321-WB-LODHRAN ROAD, DUNYAPUR HIGHWAY</t>
  </si>
  <si>
    <t>ALI ARFAN PETROLEUM SERVICES</t>
  </si>
  <si>
    <t>MOUZA ABLANI HASILPUR QAIMPUR-HEAD ISLAM ROAD,BAHAWALPUR HASILPUR</t>
  </si>
  <si>
    <t>PSO S/S 90 (ZAHIRPIR SOUTH)</t>
  </si>
  <si>
    <t>MOTOR WAY (M-5) SERVICE AREA RAHIM YAR KHAN ZAHIR PIR</t>
  </si>
  <si>
    <t>PSO S/S 89 (ZAHIRPIR NORTH)</t>
  </si>
  <si>
    <t>CATEGORY</t>
  </si>
  <si>
    <t>OV</t>
  </si>
  <si>
    <t>NV</t>
  </si>
  <si>
    <t>Total  no. of DUs</t>
  </si>
  <si>
    <t>DUCs Details</t>
  </si>
  <si>
    <t>Remarks</t>
  </si>
  <si>
    <t>Model</t>
  </si>
  <si>
    <t>Type</t>
  </si>
  <si>
    <t>No. of Local DUs (if any)</t>
  </si>
  <si>
    <t>DUCs Installed (no. of DUs)</t>
  </si>
  <si>
    <t xml:space="preserve">DUCs Installed at DUs </t>
  </si>
  <si>
    <t>EDAT / GDA / Sunny XE
IGEM / Vista / Hellix</t>
  </si>
  <si>
    <t>Single</t>
  </si>
  <si>
    <t xml:space="preserve">Twin </t>
  </si>
  <si>
    <t>Quadro</t>
  </si>
  <si>
    <t>No. of Local Electronic Type</t>
  </si>
  <si>
    <t>No. of Local Mechanical Type</t>
  </si>
  <si>
    <t>ROHI</t>
  </si>
  <si>
    <t xml:space="preserve">Ismail </t>
  </si>
  <si>
    <t>Wayne</t>
  </si>
  <si>
    <t>Gilbarco</t>
  </si>
  <si>
    <t>Mepson</t>
  </si>
  <si>
    <t>3 X IGEM</t>
  </si>
  <si>
    <t>1 x Vista</t>
  </si>
  <si>
    <t>3 x Vista</t>
  </si>
  <si>
    <t>4 x Vista</t>
  </si>
  <si>
    <t>4 x IGEM</t>
  </si>
  <si>
    <t>3 x IGEM</t>
  </si>
  <si>
    <t>4 x Helix</t>
  </si>
  <si>
    <t>1 x IGEM</t>
  </si>
  <si>
    <t>5 x IGEM</t>
  </si>
  <si>
    <t>2 x IGEM, 3 x Vista</t>
  </si>
  <si>
    <t>3 x Helix</t>
  </si>
  <si>
    <t>Tatsuno</t>
  </si>
  <si>
    <t>3 x Sunny</t>
  </si>
  <si>
    <t>4 x Sunny</t>
  </si>
  <si>
    <t>5 x Sunny</t>
  </si>
  <si>
    <t xml:space="preserve">1 x Vista, 2 x IGEM, </t>
  </si>
  <si>
    <t xml:space="preserve">1 x High Nose </t>
  </si>
  <si>
    <t>3 x GDA</t>
  </si>
  <si>
    <t>4 x GDA</t>
  </si>
  <si>
    <t>5 x GDA</t>
  </si>
  <si>
    <t>2 x Vista</t>
  </si>
  <si>
    <t xml:space="preserve">3 x Sunny </t>
  </si>
  <si>
    <t>Tokheim</t>
  </si>
  <si>
    <t xml:space="preserve">3 x GDA </t>
  </si>
  <si>
    <t>3 x Sunny, 1 x GDA</t>
  </si>
  <si>
    <t>2 x IGEM</t>
  </si>
  <si>
    <t>2 x Sunny</t>
  </si>
  <si>
    <t>1 x IGEM, 1 x Vista</t>
  </si>
  <si>
    <t>3 x IGEM, 2 x Vista</t>
  </si>
  <si>
    <t>NAWAZISH FILLING STATION</t>
  </si>
  <si>
    <t>4 x Sunny, 1 x GDA</t>
  </si>
  <si>
    <t>2 x Hilex, 1x Vista</t>
  </si>
  <si>
    <t>7 x Sunny , 1 x GDA</t>
  </si>
  <si>
    <t>4 x Mepson</t>
  </si>
  <si>
    <t>3 x Mepson</t>
  </si>
  <si>
    <t>3 twin, 1 single, Make Sardar Sons Lahore</t>
  </si>
  <si>
    <t>3 Twin, 1  Single, Make Sardar Sons  Lahore</t>
  </si>
  <si>
    <t>2 twin, 1 Single, Make Saeed &amp; Sons</t>
  </si>
  <si>
    <t>1 Wayne Vista twin, 1 local Saeed &amp; Sons</t>
  </si>
  <si>
    <t>2 twin, Make Shah Sons</t>
  </si>
  <si>
    <t>1 single, 2 Twin. Make Akbar Mailsi</t>
  </si>
  <si>
    <t>1 single, 1 twin. Make Jameel &amp; co</t>
  </si>
  <si>
    <t>2 twin Make Ajmal &amp; Co</t>
  </si>
  <si>
    <t xml:space="preserve">2 x Sunny </t>
  </si>
  <si>
    <t>3 Twin, Make Ajmal &amp; Co</t>
  </si>
  <si>
    <t>3 twin. Make Sardar Sons</t>
  </si>
  <si>
    <t>3 Twin. Make Sardar Sons</t>
  </si>
  <si>
    <t>3 twin. Make Akbar Mailsi</t>
  </si>
  <si>
    <t>1 Orignal Tatsuno GDA Twin</t>
  </si>
  <si>
    <t>3 twin. Make Sardar &amp; Sons</t>
  </si>
  <si>
    <t>2 twin, 1 Single. Make Multan</t>
  </si>
  <si>
    <t>2 twin. Make Sardar Sons</t>
  </si>
  <si>
    <t>2 Twin. Make Sardar Sons</t>
  </si>
  <si>
    <t>1 Twin. Make Sardar Sons</t>
  </si>
  <si>
    <t>4 Twin. Make Sardar Sons</t>
  </si>
  <si>
    <t xml:space="preserve">1 x Vista </t>
  </si>
  <si>
    <t>3 Twin. Make Shaheen Company</t>
  </si>
  <si>
    <t>3 single, Make Shaheen Company</t>
  </si>
  <si>
    <t xml:space="preserve">2 twin Make Sardar sons &amp; 1 single Made Multan </t>
  </si>
  <si>
    <t>1 Local Tatsuno, 1 Local Wayne</t>
  </si>
  <si>
    <t>2 twin. Sardar Sons</t>
  </si>
  <si>
    <t>4 Twin. Shaheen Company</t>
  </si>
  <si>
    <t>3 Twin Make Multan. 2 Twin Make Sardar Sons</t>
  </si>
  <si>
    <t>2 Twin Local Make</t>
  </si>
  <si>
    <t>1 Twin ARL Electronic Lab</t>
  </si>
  <si>
    <t>3 twin. Make Shahid Mailsi</t>
  </si>
  <si>
    <t>2 Twin. Make Shahid Mailsi</t>
  </si>
  <si>
    <t>3 Twin. Make Shah Sons</t>
  </si>
  <si>
    <t>1 Twin Orignal Wayne. 1 Twin Local Multan Make</t>
  </si>
  <si>
    <t>1 Twin. Make Shah G Lahore</t>
  </si>
  <si>
    <t>2 Twin. Make Asif Lahore</t>
  </si>
  <si>
    <t>1 Twin Made Multan</t>
  </si>
  <si>
    <t>1 Twin. Made Multan</t>
  </si>
  <si>
    <t>1 Twin. Made Shah G Lahore</t>
  </si>
  <si>
    <t>1 x IGEM OLD</t>
  </si>
  <si>
    <t>2 Twin. Made Shahid Mailsi</t>
  </si>
  <si>
    <t>4 Twin. Made Shahid Mailsi</t>
  </si>
  <si>
    <t>3 twin. Made Multan</t>
  </si>
  <si>
    <t>1 twin. Made Jamal &amp; Co</t>
  </si>
  <si>
    <t>2 Single, Make Ajmal &amp; Sons</t>
  </si>
  <si>
    <t>3 Twin. Made Shahid Vehari</t>
  </si>
  <si>
    <t>3 Twin. Made Shahid Mailsi</t>
  </si>
  <si>
    <t>5 Twin. Made ARL Electronics</t>
  </si>
  <si>
    <t>2 Twin. Made Arshad Shah Lahore</t>
  </si>
  <si>
    <t>3 Twin. Made Arshad Shah Lahore</t>
  </si>
  <si>
    <t xml:space="preserve">1 Twin. Made ARL Electronic </t>
  </si>
  <si>
    <t>3 Twin. Made Arhad Shah Lahore</t>
  </si>
  <si>
    <t>3 Twin. Made Sardar Sons</t>
  </si>
  <si>
    <t>3 twin. Made Shah G Lahore</t>
  </si>
  <si>
    <t>4 twin. Made Shah G Lahore</t>
  </si>
  <si>
    <t>1 Twin. Made Sardar Sons</t>
  </si>
  <si>
    <t>5 Twin. Made Sardar Sons</t>
  </si>
  <si>
    <t>4 Twin. Made Sardar Sons</t>
  </si>
  <si>
    <t>1 Single &amp; 1 Twin. Made Shahid Vehari</t>
  </si>
  <si>
    <t>2 twin. Made Shahid Vehari</t>
  </si>
  <si>
    <t>2 Twin. Made ARL Electronics</t>
  </si>
  <si>
    <t>1 Twin.Made Sardar Sons</t>
  </si>
  <si>
    <t>1 Twin. ARL Electronics</t>
  </si>
  <si>
    <t>1 Twin. Made Shahid Multan</t>
  </si>
  <si>
    <t>1 Twin. Made Shahid Mailsi</t>
  </si>
  <si>
    <t>1 Twin. Made Arshad Shah Lahore</t>
  </si>
  <si>
    <t>1 Twin. Made Ajmal Lahore</t>
  </si>
  <si>
    <t>1 Twin. Made Mubeen Multan</t>
  </si>
  <si>
    <t>1 twin. Made Shahid Vehari</t>
  </si>
  <si>
    <t>2 Twin. Made Multan</t>
  </si>
  <si>
    <t>1 Twin. Made ARL Electronics</t>
  </si>
  <si>
    <t>1 twin. Made Multan</t>
  </si>
  <si>
    <t>2 Twin. Made Shah G Lahore</t>
  </si>
  <si>
    <t>2 Twin. Made Sardar Sons</t>
  </si>
  <si>
    <t>2 Twin. Made Ajmal Multan</t>
  </si>
  <si>
    <t xml:space="preserve">2 Twin. Made Ajmal Multan </t>
  </si>
  <si>
    <t>2 Twin. Made Jameel &amp; Co</t>
  </si>
  <si>
    <t>2 Twin. Made Mubeen Technician</t>
  </si>
  <si>
    <t>3 Twin. Made Mubeen Technician</t>
  </si>
  <si>
    <t>3 Twin. Made Adnan Multan</t>
  </si>
  <si>
    <t>3 Twin. Made Ajmal &amp; Co</t>
  </si>
  <si>
    <t>3 Twin. Made Arl Electronics</t>
  </si>
  <si>
    <t>3 Twin. Made  Multan</t>
  </si>
  <si>
    <t>3 Twin. Made Multan</t>
  </si>
  <si>
    <t>3 Twin. Made Jameel &amp; Co</t>
  </si>
  <si>
    <t>3 twin. Made Mubeen Multan</t>
  </si>
  <si>
    <t>3 Twin. Make Shahid Vehari</t>
  </si>
  <si>
    <t>4 Twin. Made Arshad Shah Lahore</t>
  </si>
  <si>
    <t>4 Twin. Made ARL Elecronics</t>
  </si>
  <si>
    <t>4 Twin. Made Mubeen Multan</t>
  </si>
  <si>
    <t>4 Twin. Made Ajmal &amp; Co</t>
  </si>
  <si>
    <t>5 Twin. Made Shahid Lahore</t>
  </si>
  <si>
    <t>TOTAL</t>
  </si>
  <si>
    <t>Local Dispensers</t>
  </si>
  <si>
    <t>1 x IGEM , 1 x Helix</t>
  </si>
  <si>
    <t>1 x Helix</t>
  </si>
  <si>
    <t>1 x GDA</t>
  </si>
  <si>
    <t>1 x Gilbarco</t>
  </si>
  <si>
    <t>1 x Mepson</t>
  </si>
  <si>
    <t>1 x IGEM, 1 VISTA</t>
  </si>
  <si>
    <t>2 x GDA</t>
  </si>
  <si>
    <t>1 x Tokheim</t>
  </si>
  <si>
    <t/>
  </si>
  <si>
    <t>Ring Fencing - Bahawalpur Division</t>
  </si>
  <si>
    <t>Outlet Type</t>
  </si>
  <si>
    <t>Sites</t>
  </si>
  <si>
    <t>Total DUs</t>
  </si>
  <si>
    <t>DUCs installed</t>
  </si>
  <si>
    <t>DUCs not installed</t>
  </si>
  <si>
    <t>CF/DFA</t>
  </si>
  <si>
    <t>DFB/DFC</t>
  </si>
  <si>
    <t>ALL CATGEORIES</t>
  </si>
  <si>
    <t>Mepsan</t>
  </si>
  <si>
    <t>Local Electronic</t>
  </si>
  <si>
    <t>DUs</t>
  </si>
  <si>
    <t>NV/OV</t>
  </si>
  <si>
    <t>Tatsuno DUs</t>
  </si>
  <si>
    <t>Other Than Tatsuno DUs</t>
  </si>
  <si>
    <t>WAYNE</t>
  </si>
  <si>
    <t>MEPSON</t>
  </si>
  <si>
    <t>GILBARCO/TOKHEIM</t>
  </si>
  <si>
    <t>LOCAL</t>
  </si>
  <si>
    <t>Total</t>
  </si>
  <si>
    <t>DFA</t>
  </si>
  <si>
    <t>DFB</t>
  </si>
  <si>
    <t>CF</t>
  </si>
  <si>
    <t>DFC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</si>
</sst>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11"/>
      <color rgb="FF1F497D"/>
      <name val="Calibri"/>
      <family val="2"/>
    </font>
    <font>
      <sz val="10"/>
      <color rgb="FF000000"/>
      <name val="Times New Roman"/>
      <family val="1"/>
    </font>
    <font>
      <sz val="11"/>
      <color rgb="FFFF0000"/>
      <name val="Times New Roman"/>
      <family val="1"/>
    </font>
    <font>
      <b/>
      <sz val="20"/>
      <color theme="1"/>
      <name val="Times New Roman"/>
      <family val="1"/>
    </font>
    <font>
      <b/>
      <sz val="20"/>
      <name val="Times New Roman"/>
      <family val="1"/>
    </font>
    <font>
      <b/>
      <sz val="26"/>
      <name val="Times New Roman"/>
      <family val="1"/>
    </font>
    <font>
      <b/>
      <sz val="26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</cellStyleXfs>
  <cellXfs count="229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3" borderId="0" xfId="0" applyFont="1" applyFill="1" applyBorder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164" fontId="6" fillId="3" borderId="1" xfId="0" applyNumberFormat="1" applyFont="1" applyFill="1" applyBorder="1" applyAlignment="1">
      <alignment horizontal="right"/>
    </xf>
    <xf numFmtId="1" fontId="6" fillId="3" borderId="1" xfId="0" applyNumberFormat="1" applyFont="1" applyFill="1" applyBorder="1" applyAlignment="1">
      <alignment horizontal="right"/>
    </xf>
    <xf numFmtId="0" fontId="8" fillId="3" borderId="1" xfId="0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/>
    <xf numFmtId="1" fontId="6" fillId="3" borderId="1" xfId="0" applyNumberFormat="1" applyFont="1" applyFill="1" applyBorder="1" applyAlignment="1"/>
    <xf numFmtId="1" fontId="6" fillId="3" borderId="1" xfId="2" applyNumberFormat="1" applyFont="1" applyFill="1" applyBorder="1" applyAlignment="1"/>
    <xf numFmtId="2" fontId="5" fillId="3" borderId="1" xfId="0" applyNumberFormat="1" applyFont="1" applyFill="1" applyBorder="1"/>
    <xf numFmtId="1" fontId="6" fillId="3" borderId="1" xfId="4" applyNumberFormat="1" applyFont="1" applyFill="1" applyBorder="1" applyAlignment="1"/>
    <xf numFmtId="1" fontId="6" fillId="3" borderId="1" xfId="5" applyNumberFormat="1" applyFont="1" applyFill="1" applyBorder="1" applyAlignment="1"/>
    <xf numFmtId="0" fontId="10" fillId="3" borderId="1" xfId="0" applyFont="1" applyFill="1" applyBorder="1" applyAlignment="1">
      <alignment vertical="center"/>
    </xf>
    <xf numFmtId="0" fontId="6" fillId="3" borderId="1" xfId="0" applyNumberFormat="1" applyFont="1" applyFill="1" applyBorder="1" applyAlignment="1"/>
    <xf numFmtId="1" fontId="6" fillId="3" borderId="1" xfId="1" applyNumberFormat="1" applyFont="1" applyFill="1" applyBorder="1" applyAlignment="1"/>
    <xf numFmtId="0" fontId="6" fillId="3" borderId="1" xfId="0" applyFont="1" applyFill="1" applyBorder="1" applyAlignment="1"/>
    <xf numFmtId="1" fontId="6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3" borderId="1" xfId="0" applyNumberFormat="1" applyFont="1" applyFill="1" applyBorder="1"/>
    <xf numFmtId="0" fontId="1" fillId="3" borderId="1" xfId="0" applyFont="1" applyFill="1" applyBorder="1"/>
    <xf numFmtId="0" fontId="0" fillId="0" borderId="1" xfId="0" applyBorder="1"/>
    <xf numFmtId="0" fontId="0" fillId="0" borderId="0" xfId="0" applyBorder="1"/>
    <xf numFmtId="1" fontId="6" fillId="3" borderId="0" xfId="0" applyNumberFormat="1" applyFont="1" applyFill="1" applyBorder="1" applyAlignment="1"/>
    <xf numFmtId="1" fontId="6" fillId="3" borderId="0" xfId="0" applyNumberFormat="1" applyFont="1" applyFill="1" applyBorder="1" applyAlignment="1">
      <alignment horizontal="center"/>
    </xf>
    <xf numFmtId="164" fontId="6" fillId="3" borderId="0" xfId="0" applyNumberFormat="1" applyFont="1" applyFill="1" applyBorder="1" applyAlignment="1">
      <alignment horizontal="right"/>
    </xf>
    <xf numFmtId="1" fontId="6" fillId="3" borderId="0" xfId="2" applyNumberFormat="1" applyFont="1" applyFill="1" applyBorder="1" applyAlignment="1"/>
    <xf numFmtId="2" fontId="5" fillId="3" borderId="0" xfId="0" applyNumberFormat="1" applyFont="1" applyFill="1" applyBorder="1"/>
    <xf numFmtId="2" fontId="1" fillId="3" borderId="0" xfId="0" applyNumberFormat="1" applyFont="1" applyFill="1" applyBorder="1"/>
    <xf numFmtId="1" fontId="6" fillId="0" borderId="1" xfId="0" applyNumberFormat="1" applyFont="1" applyFill="1" applyBorder="1" applyAlignment="1"/>
    <xf numFmtId="0" fontId="6" fillId="0" borderId="1" xfId="0" applyFont="1" applyFill="1" applyBorder="1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1" fillId="4" borderId="1" xfId="0" applyNumberFormat="1" applyFont="1" applyFill="1" applyBorder="1"/>
    <xf numFmtId="0" fontId="1" fillId="4" borderId="1" xfId="0" applyFont="1" applyFill="1" applyBorder="1"/>
    <xf numFmtId="0" fontId="11" fillId="3" borderId="0" xfId="0" applyFont="1" applyFill="1" applyBorder="1" applyAlignment="1">
      <alignment horizontal="right" vertical="center"/>
    </xf>
    <xf numFmtId="1" fontId="6" fillId="3" borderId="11" xfId="0" applyNumberFormat="1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 vertical="center" wrapText="1"/>
    </xf>
    <xf numFmtId="2" fontId="5" fillId="6" borderId="15" xfId="0" applyNumberFormat="1" applyFont="1" applyFill="1" applyBorder="1"/>
    <xf numFmtId="0" fontId="5" fillId="6" borderId="1" xfId="0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1" fontId="1" fillId="6" borderId="16" xfId="0" applyNumberFormat="1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 wrapText="1"/>
    </xf>
    <xf numFmtId="2" fontId="5" fillId="7" borderId="15" xfId="0" applyNumberFormat="1" applyFont="1" applyFill="1" applyBorder="1"/>
    <xf numFmtId="0" fontId="2" fillId="8" borderId="15" xfId="0" applyFont="1" applyFill="1" applyBorder="1" applyAlignment="1">
      <alignment horizontal="center" vertical="center" wrapText="1"/>
    </xf>
    <xf numFmtId="2" fontId="5" fillId="8" borderId="15" xfId="0" applyNumberFormat="1" applyFont="1" applyFill="1" applyBorder="1"/>
    <xf numFmtId="0" fontId="5" fillId="8" borderId="1" xfId="0" applyFont="1" applyFill="1" applyBorder="1" applyAlignment="1">
      <alignment horizontal="center" vertical="center"/>
    </xf>
    <xf numFmtId="1" fontId="5" fillId="8" borderId="1" xfId="0" applyNumberFormat="1" applyFont="1" applyFill="1" applyBorder="1" applyAlignment="1">
      <alignment horizontal="center" vertical="center"/>
    </xf>
    <xf numFmtId="1" fontId="1" fillId="8" borderId="16" xfId="0" applyNumberFormat="1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 wrapText="1"/>
    </xf>
    <xf numFmtId="2" fontId="5" fillId="9" borderId="15" xfId="0" applyNumberFormat="1" applyFont="1" applyFill="1" applyBorder="1"/>
    <xf numFmtId="0" fontId="5" fillId="9" borderId="1" xfId="0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/>
    </xf>
    <xf numFmtId="1" fontId="1" fillId="9" borderId="16" xfId="0" applyNumberFormat="1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 wrapText="1"/>
    </xf>
    <xf numFmtId="2" fontId="5" fillId="10" borderId="15" xfId="0" applyNumberFormat="1" applyFont="1" applyFill="1" applyBorder="1"/>
    <xf numFmtId="0" fontId="5" fillId="10" borderId="1" xfId="0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center" vertical="center"/>
    </xf>
    <xf numFmtId="1" fontId="1" fillId="10" borderId="16" xfId="0" applyNumberFormat="1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2" fontId="5" fillId="11" borderId="15" xfId="0" applyNumberFormat="1" applyFont="1" applyFill="1" applyBorder="1"/>
    <xf numFmtId="0" fontId="5" fillId="11" borderId="1" xfId="0" applyFont="1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/>
    </xf>
    <xf numFmtId="2" fontId="5" fillId="11" borderId="15" xfId="0" applyNumberFormat="1" applyFont="1" applyFill="1" applyBorder="1" applyAlignment="1">
      <alignment wrapText="1"/>
    </xf>
    <xf numFmtId="0" fontId="0" fillId="11" borderId="15" xfId="0" applyFill="1" applyBorder="1"/>
    <xf numFmtId="2" fontId="12" fillId="11" borderId="15" xfId="0" applyNumberFormat="1" applyFont="1" applyFill="1" applyBorder="1"/>
    <xf numFmtId="2" fontId="12" fillId="11" borderId="1" xfId="0" applyNumberFormat="1" applyFont="1" applyFill="1" applyBorder="1"/>
    <xf numFmtId="0" fontId="1" fillId="11" borderId="15" xfId="0" applyFont="1" applyFill="1" applyBorder="1"/>
    <xf numFmtId="1" fontId="15" fillId="5" borderId="11" xfId="0" applyNumberFormat="1" applyFont="1" applyFill="1" applyBorder="1" applyAlignment="1">
      <alignment horizontal="center" vertical="center"/>
    </xf>
    <xf numFmtId="1" fontId="16" fillId="5" borderId="11" xfId="0" applyNumberFormat="1" applyFont="1" applyFill="1" applyBorder="1" applyAlignment="1">
      <alignment horizontal="center" vertical="center"/>
    </xf>
    <xf numFmtId="1" fontId="14" fillId="5" borderId="11" xfId="0" applyNumberFormat="1" applyFont="1" applyFill="1" applyBorder="1" applyAlignment="1">
      <alignment horizontal="center" vertical="center"/>
    </xf>
    <xf numFmtId="1" fontId="14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7" fillId="0" borderId="24" xfId="0" applyFont="1" applyBorder="1" applyAlignment="1">
      <alignment vertical="center" wrapText="1"/>
    </xf>
    <xf numFmtId="0" fontId="17" fillId="0" borderId="15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7" fillId="12" borderId="29" xfId="0" applyFont="1" applyFill="1" applyBorder="1" applyAlignment="1">
      <alignment horizontal="center" vertical="center"/>
    </xf>
    <xf numFmtId="0" fontId="17" fillId="0" borderId="26" xfId="0" applyFont="1" applyBorder="1" applyAlignment="1">
      <alignment vertical="center" wrapText="1"/>
    </xf>
    <xf numFmtId="0" fontId="17" fillId="12" borderId="15" xfId="0" applyFont="1" applyFill="1" applyBorder="1" applyAlignment="1">
      <alignment vertical="center" wrapText="1"/>
    </xf>
    <xf numFmtId="0" fontId="17" fillId="12" borderId="1" xfId="0" applyFont="1" applyFill="1" applyBorder="1" applyAlignment="1">
      <alignment vertical="center" wrapText="1"/>
    </xf>
    <xf numFmtId="0" fontId="17" fillId="12" borderId="16" xfId="0" applyFont="1" applyFill="1" applyBorder="1" applyAlignment="1">
      <alignment vertical="center" wrapText="1"/>
    </xf>
    <xf numFmtId="0" fontId="0" fillId="0" borderId="29" xfId="0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13" borderId="30" xfId="0" applyFill="1" applyBorder="1" applyAlignment="1">
      <alignment horizontal="center" vertical="center"/>
    </xf>
    <xf numFmtId="0" fontId="0" fillId="13" borderId="29" xfId="0" applyFill="1" applyBorder="1" applyAlignment="1">
      <alignment horizontal="center" vertical="center"/>
    </xf>
    <xf numFmtId="0" fontId="17" fillId="0" borderId="31" xfId="0" applyFont="1" applyBorder="1"/>
    <xf numFmtId="0" fontId="0" fillId="0" borderId="15" xfId="0" applyBorder="1"/>
    <xf numFmtId="0" fontId="0" fillId="0" borderId="16" xfId="0" applyBorder="1"/>
    <xf numFmtId="0" fontId="0" fillId="6" borderId="15" xfId="0" applyFill="1" applyBorder="1"/>
    <xf numFmtId="0" fontId="0" fillId="6" borderId="1" xfId="0" applyFill="1" applyBorder="1"/>
    <xf numFmtId="0" fontId="0" fillId="14" borderId="1" xfId="0" applyFill="1" applyBorder="1"/>
    <xf numFmtId="0" fontId="0" fillId="14" borderId="16" xfId="0" applyFill="1" applyBorder="1"/>
    <xf numFmtId="0" fontId="0" fillId="12" borderId="32" xfId="0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0" fontId="0" fillId="12" borderId="36" xfId="0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17" fillId="0" borderId="38" xfId="0" applyFont="1" applyBorder="1"/>
    <xf numFmtId="0" fontId="0" fillId="0" borderId="34" xfId="0" applyBorder="1"/>
    <xf numFmtId="0" fontId="0" fillId="0" borderId="36" xfId="0" applyBorder="1"/>
    <xf numFmtId="0" fontId="0" fillId="6" borderId="34" xfId="0" applyFill="1" applyBorder="1"/>
    <xf numFmtId="0" fontId="0" fillId="6" borderId="35" xfId="0" applyFill="1" applyBorder="1"/>
    <xf numFmtId="0" fontId="0" fillId="14" borderId="35" xfId="0" applyFill="1" applyBorder="1"/>
    <xf numFmtId="0" fontId="0" fillId="14" borderId="36" xfId="0" applyFill="1" applyBorder="1"/>
    <xf numFmtId="0" fontId="0" fillId="0" borderId="0" xfId="0" applyAlignment="1">
      <alignment vertical="center"/>
    </xf>
    <xf numFmtId="0" fontId="0" fillId="15" borderId="28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3" borderId="15" xfId="0" applyFill="1" applyBorder="1"/>
    <xf numFmtId="0" fontId="0" fillId="3" borderId="1" xfId="0" applyFill="1" applyBorder="1"/>
    <xf numFmtId="0" fontId="0" fillId="3" borderId="16" xfId="0" applyFill="1" applyBorder="1"/>
    <xf numFmtId="1" fontId="1" fillId="3" borderId="0" xfId="0" applyNumberFormat="1" applyFont="1" applyFill="1" applyBorder="1"/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1" fontId="15" fillId="3" borderId="23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 wrapText="1"/>
    </xf>
    <xf numFmtId="0" fontId="2" fillId="11" borderId="2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2" fillId="10" borderId="2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 vertical="center" wrapText="1"/>
    </xf>
    <xf numFmtId="0" fontId="2" fillId="10" borderId="20" xfId="0" applyFont="1" applyFill="1" applyBorder="1" applyAlignment="1">
      <alignment horizontal="center" vertical="center" wrapText="1"/>
    </xf>
    <xf numFmtId="0" fontId="2" fillId="10" borderId="2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8" borderId="2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9" borderId="20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13" fillId="10" borderId="12" xfId="0" applyFont="1" applyFill="1" applyBorder="1" applyAlignment="1">
      <alignment horizontal="center" vertical="center" wrapText="1"/>
    </xf>
    <xf numFmtId="0" fontId="13" fillId="10" borderId="13" xfId="0" applyFont="1" applyFill="1" applyBorder="1" applyAlignment="1">
      <alignment horizontal="center" vertical="center" wrapText="1"/>
    </xf>
    <xf numFmtId="0" fontId="13" fillId="10" borderId="14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13" fillId="11" borderId="13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13" fillId="8" borderId="14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</cellXfs>
  <cellStyles count="26">
    <cellStyle name="Excel Built-in Normal" xfId="25" xr:uid="{00000000-0005-0000-0000-000000000000}"/>
    <cellStyle name="Normal" xfId="0" builtinId="0"/>
    <cellStyle name="Normal 10" xfId="1" xr:uid="{00000000-0005-0000-0000-000002000000}"/>
    <cellStyle name="Normal 11" xfId="2" xr:uid="{00000000-0005-0000-0000-000003000000}"/>
    <cellStyle name="Normal 12" xfId="6" xr:uid="{00000000-0005-0000-0000-000004000000}"/>
    <cellStyle name="Normal 14" xfId="21" xr:uid="{00000000-0005-0000-0000-000005000000}"/>
    <cellStyle name="Normal 15" xfId="18" xr:uid="{00000000-0005-0000-0000-000006000000}"/>
    <cellStyle name="Normal 17" xfId="11" xr:uid="{00000000-0005-0000-0000-000007000000}"/>
    <cellStyle name="Normal 18" xfId="13" xr:uid="{00000000-0005-0000-0000-000008000000}"/>
    <cellStyle name="Normal 19" xfId="8" xr:uid="{00000000-0005-0000-0000-000009000000}"/>
    <cellStyle name="Normal 2" xfId="17" xr:uid="{00000000-0005-0000-0000-00000A000000}"/>
    <cellStyle name="Normal 20" xfId="9" xr:uid="{00000000-0005-0000-0000-00000B000000}"/>
    <cellStyle name="Normal 21" xfId="14" xr:uid="{00000000-0005-0000-0000-00000C000000}"/>
    <cellStyle name="Normal 22" xfId="19" xr:uid="{00000000-0005-0000-0000-00000D000000}"/>
    <cellStyle name="Normal 23" xfId="24" xr:uid="{00000000-0005-0000-0000-00000E000000}"/>
    <cellStyle name="Normal 24" xfId="10" xr:uid="{00000000-0005-0000-0000-00000F000000}"/>
    <cellStyle name="Normal 25" xfId="22" xr:uid="{00000000-0005-0000-0000-000010000000}"/>
    <cellStyle name="Normal 27" xfId="7" xr:uid="{00000000-0005-0000-0000-000011000000}"/>
    <cellStyle name="Normal 29" xfId="15" xr:uid="{00000000-0005-0000-0000-000012000000}"/>
    <cellStyle name="Normal 3" xfId="16" xr:uid="{00000000-0005-0000-0000-000013000000}"/>
    <cellStyle name="Normal 4" xfId="5" xr:uid="{00000000-0005-0000-0000-000014000000}"/>
    <cellStyle name="Normal 5" xfId="23" xr:uid="{00000000-0005-0000-0000-000015000000}"/>
    <cellStyle name="Normal 6" xfId="3" xr:uid="{00000000-0005-0000-0000-000016000000}"/>
    <cellStyle name="Normal 7" xfId="4" xr:uid="{00000000-0005-0000-0000-000017000000}"/>
    <cellStyle name="Normal 8" xfId="20" xr:uid="{00000000-0005-0000-0000-000018000000}"/>
    <cellStyle name="Normal 9" xfId="12" xr:uid="{00000000-0005-0000-0000-000019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580"/>
  <sheetViews>
    <sheetView showGridLines="0" zoomScale="56" zoomScaleNormal="74" workbookViewId="0">
      <pane ySplit="2" topLeftCell="A3" activePane="bottomLeft" state="frozen"/>
      <selection activeCell="M1" sqref="M1"/>
      <selection pane="bottomLeft" activeCell="P271" sqref="P271:AK271"/>
    </sheetView>
  </sheetViews>
  <sheetFormatPr defaultColWidth="9.1796875" defaultRowHeight="14" x14ac:dyDescent="0.3"/>
  <cols>
    <col min="1" max="1" width="5.90625" style="4" customWidth="1"/>
    <col min="2" max="2" width="10.1796875" style="2" customWidth="1"/>
    <col min="3" max="3" width="39.90625" style="2" customWidth="1"/>
    <col min="4" max="4" width="10.1796875" style="2" customWidth="1"/>
    <col min="5" max="5" width="15.26953125" style="2" customWidth="1"/>
    <col min="6" max="7" width="12.1796875" style="2" customWidth="1"/>
    <col min="8" max="8" width="10.81640625" style="5" customWidth="1"/>
    <col min="9" max="9" width="9.90625" style="5" customWidth="1"/>
    <col min="10" max="10" width="27.26953125" style="2" customWidth="1"/>
    <col min="11" max="11" width="25.6328125" style="2" customWidth="1"/>
    <col min="12" max="12" width="15.6328125" style="2" customWidth="1"/>
    <col min="13" max="13" width="62.26953125" style="2" customWidth="1"/>
    <col min="14" max="14" width="11.453125" style="2" customWidth="1"/>
    <col min="15" max="15" width="20.453125" style="2" customWidth="1"/>
    <col min="16" max="16" width="8.81640625" style="2" customWidth="1"/>
    <col min="17" max="17" width="7.26953125" style="2" customWidth="1"/>
    <col min="18" max="18" width="8.453125" style="2" customWidth="1"/>
    <col min="19" max="19" width="20.453125" style="2" customWidth="1"/>
    <col min="20" max="20" width="8.81640625" style="2" customWidth="1"/>
    <col min="21" max="21" width="7.26953125" style="2" customWidth="1"/>
    <col min="22" max="22" width="8.453125" style="2" customWidth="1"/>
    <col min="23" max="23" width="20.453125" style="2" customWidth="1"/>
    <col min="24" max="24" width="8.81640625" style="2" customWidth="1"/>
    <col min="25" max="25" width="7.26953125" style="2" customWidth="1"/>
    <col min="26" max="26" width="8.453125" style="2" customWidth="1"/>
    <col min="27" max="27" width="20.453125" style="2" customWidth="1"/>
    <col min="28" max="28" width="8.81640625" style="2" customWidth="1"/>
    <col min="29" max="29" width="7.26953125" style="2" customWidth="1"/>
    <col min="30" max="30" width="8.453125" style="2" customWidth="1"/>
    <col min="31" max="31" width="20.453125" style="2" customWidth="1"/>
    <col min="32" max="32" width="8.81640625" style="2" customWidth="1"/>
    <col min="33" max="33" width="7.26953125" style="2" customWidth="1"/>
    <col min="34" max="34" width="8.453125" style="2" customWidth="1"/>
    <col min="35" max="35" width="17.6328125" style="35" customWidth="1"/>
    <col min="36" max="36" width="17.6328125" style="1" customWidth="1"/>
    <col min="37" max="37" width="15.7265625" style="1" customWidth="1"/>
    <col min="38" max="38" width="14.7265625" style="1" customWidth="1"/>
    <col min="39" max="39" width="42" style="1" bestFit="1" customWidth="1"/>
    <col min="40" max="16384" width="9.1796875" style="1"/>
  </cols>
  <sheetData>
    <row r="1" spans="1:41" ht="14.5" thickBot="1" x14ac:dyDescent="0.35">
      <c r="O1" s="128"/>
      <c r="P1" s="128"/>
      <c r="Q1" s="128"/>
      <c r="R1" s="128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24" t="s">
        <v>562</v>
      </c>
      <c r="AL1" s="125"/>
    </row>
    <row r="2" spans="1:41" ht="25" x14ac:dyDescent="0.3">
      <c r="O2" s="151" t="s">
        <v>591</v>
      </c>
      <c r="P2" s="152"/>
      <c r="Q2" s="152"/>
      <c r="R2" s="153"/>
      <c r="S2" s="206" t="s">
        <v>577</v>
      </c>
      <c r="T2" s="207"/>
      <c r="U2" s="207"/>
      <c r="V2" s="208"/>
      <c r="W2" s="209" t="s">
        <v>579</v>
      </c>
      <c r="X2" s="210"/>
      <c r="Y2" s="210"/>
      <c r="Z2" s="211"/>
      <c r="AA2" s="212" t="s">
        <v>578</v>
      </c>
      <c r="AB2" s="213"/>
      <c r="AC2" s="213"/>
      <c r="AD2" s="214"/>
      <c r="AE2" s="201" t="s">
        <v>602</v>
      </c>
      <c r="AF2" s="202"/>
      <c r="AG2" s="202"/>
      <c r="AH2" s="203"/>
      <c r="AI2" s="204" t="s">
        <v>708</v>
      </c>
      <c r="AJ2" s="205"/>
      <c r="AK2" s="134"/>
      <c r="AL2" s="135"/>
    </row>
    <row r="3" spans="1:41" ht="14" customHeight="1" x14ac:dyDescent="0.3">
      <c r="O3" s="40" t="s">
        <v>564</v>
      </c>
      <c r="P3" s="136" t="s">
        <v>565</v>
      </c>
      <c r="Q3" s="136"/>
      <c r="R3" s="137"/>
      <c r="S3" s="45" t="s">
        <v>564</v>
      </c>
      <c r="T3" s="179" t="s">
        <v>565</v>
      </c>
      <c r="U3" s="179"/>
      <c r="V3" s="180"/>
      <c r="W3" s="47" t="s">
        <v>564</v>
      </c>
      <c r="X3" s="163" t="s">
        <v>565</v>
      </c>
      <c r="Y3" s="163"/>
      <c r="Z3" s="164"/>
      <c r="AA3" s="52" t="s">
        <v>564</v>
      </c>
      <c r="AB3" s="190" t="s">
        <v>565</v>
      </c>
      <c r="AC3" s="190"/>
      <c r="AD3" s="191"/>
      <c r="AE3" s="57" t="s">
        <v>564</v>
      </c>
      <c r="AF3" s="174" t="s">
        <v>565</v>
      </c>
      <c r="AG3" s="174"/>
      <c r="AH3" s="175"/>
      <c r="AI3" s="62" t="s">
        <v>566</v>
      </c>
      <c r="AJ3" s="63"/>
      <c r="AK3" s="126"/>
      <c r="AL3" s="127"/>
    </row>
    <row r="4" spans="1:41" s="21" customFormat="1" ht="14" customHeight="1" x14ac:dyDescent="0.3">
      <c r="A4" s="131" t="s">
        <v>0</v>
      </c>
      <c r="B4" s="131" t="s">
        <v>2</v>
      </c>
      <c r="C4" s="131" t="s">
        <v>3</v>
      </c>
      <c r="D4" s="131" t="s">
        <v>1</v>
      </c>
      <c r="E4" s="131" t="s">
        <v>466</v>
      </c>
      <c r="F4" s="131" t="s">
        <v>558</v>
      </c>
      <c r="G4" s="76"/>
      <c r="H4" s="131" t="s">
        <v>468</v>
      </c>
      <c r="I4" s="131" t="s">
        <v>469</v>
      </c>
      <c r="J4" s="131" t="s">
        <v>416</v>
      </c>
      <c r="K4" s="131" t="s">
        <v>406</v>
      </c>
      <c r="L4" s="132" t="s">
        <v>421</v>
      </c>
      <c r="M4" s="131" t="s">
        <v>4</v>
      </c>
      <c r="N4" s="138" t="s">
        <v>561</v>
      </c>
      <c r="O4" s="139" t="s">
        <v>569</v>
      </c>
      <c r="P4" s="142" t="s">
        <v>570</v>
      </c>
      <c r="Q4" s="142" t="s">
        <v>571</v>
      </c>
      <c r="R4" s="176" t="s">
        <v>572</v>
      </c>
      <c r="S4" s="181" t="s">
        <v>569</v>
      </c>
      <c r="T4" s="184" t="s">
        <v>570</v>
      </c>
      <c r="U4" s="184" t="s">
        <v>571</v>
      </c>
      <c r="V4" s="187" t="s">
        <v>572</v>
      </c>
      <c r="W4" s="165" t="s">
        <v>569</v>
      </c>
      <c r="X4" s="168" t="s">
        <v>570</v>
      </c>
      <c r="Y4" s="168" t="s">
        <v>571</v>
      </c>
      <c r="Z4" s="171" t="s">
        <v>572</v>
      </c>
      <c r="AA4" s="192" t="s">
        <v>569</v>
      </c>
      <c r="AB4" s="195" t="s">
        <v>570</v>
      </c>
      <c r="AC4" s="195" t="s">
        <v>571</v>
      </c>
      <c r="AD4" s="198" t="s">
        <v>572</v>
      </c>
      <c r="AE4" s="154" t="s">
        <v>569</v>
      </c>
      <c r="AF4" s="157" t="s">
        <v>570</v>
      </c>
      <c r="AG4" s="157" t="s">
        <v>571</v>
      </c>
      <c r="AH4" s="160" t="s">
        <v>572</v>
      </c>
      <c r="AI4" s="145" t="s">
        <v>573</v>
      </c>
      <c r="AJ4" s="148" t="s">
        <v>574</v>
      </c>
      <c r="AK4" s="128" t="s">
        <v>567</v>
      </c>
      <c r="AL4" s="128" t="s">
        <v>568</v>
      </c>
      <c r="AM4" s="131" t="s">
        <v>563</v>
      </c>
      <c r="AN4" s="131"/>
    </row>
    <row r="5" spans="1:41" s="21" customFormat="1" ht="14" customHeight="1" x14ac:dyDescent="0.3">
      <c r="A5" s="131"/>
      <c r="B5" s="131"/>
      <c r="C5" s="131"/>
      <c r="D5" s="131"/>
      <c r="E5" s="131"/>
      <c r="F5" s="131"/>
      <c r="G5" s="76"/>
      <c r="H5" s="131"/>
      <c r="I5" s="131"/>
      <c r="J5" s="131"/>
      <c r="K5" s="131"/>
      <c r="L5" s="132"/>
      <c r="M5" s="131"/>
      <c r="N5" s="138"/>
      <c r="O5" s="140"/>
      <c r="P5" s="143"/>
      <c r="Q5" s="143"/>
      <c r="R5" s="177"/>
      <c r="S5" s="182"/>
      <c r="T5" s="185"/>
      <c r="U5" s="185"/>
      <c r="V5" s="188"/>
      <c r="W5" s="166"/>
      <c r="X5" s="169"/>
      <c r="Y5" s="169"/>
      <c r="Z5" s="172"/>
      <c r="AA5" s="193"/>
      <c r="AB5" s="196"/>
      <c r="AC5" s="196"/>
      <c r="AD5" s="199"/>
      <c r="AE5" s="155"/>
      <c r="AF5" s="158"/>
      <c r="AG5" s="158"/>
      <c r="AH5" s="161"/>
      <c r="AI5" s="146"/>
      <c r="AJ5" s="149"/>
      <c r="AK5" s="129"/>
      <c r="AL5" s="129"/>
      <c r="AM5" s="131"/>
      <c r="AN5" s="131"/>
    </row>
    <row r="6" spans="1:41" s="21" customFormat="1" ht="33" customHeight="1" x14ac:dyDescent="0.3">
      <c r="A6" s="128"/>
      <c r="B6" s="131"/>
      <c r="C6" s="131"/>
      <c r="D6" s="131"/>
      <c r="E6" s="131"/>
      <c r="F6" s="131"/>
      <c r="G6" s="76"/>
      <c r="H6" s="131"/>
      <c r="I6" s="131"/>
      <c r="J6" s="131"/>
      <c r="K6" s="131"/>
      <c r="L6" s="132"/>
      <c r="M6" s="131"/>
      <c r="N6" s="138"/>
      <c r="O6" s="141"/>
      <c r="P6" s="144"/>
      <c r="Q6" s="144"/>
      <c r="R6" s="178"/>
      <c r="S6" s="183"/>
      <c r="T6" s="186"/>
      <c r="U6" s="186"/>
      <c r="V6" s="189"/>
      <c r="W6" s="167"/>
      <c r="X6" s="170"/>
      <c r="Y6" s="170"/>
      <c r="Z6" s="173"/>
      <c r="AA6" s="194"/>
      <c r="AB6" s="197"/>
      <c r="AC6" s="197"/>
      <c r="AD6" s="200"/>
      <c r="AE6" s="156"/>
      <c r="AF6" s="159"/>
      <c r="AG6" s="159"/>
      <c r="AH6" s="162"/>
      <c r="AI6" s="147"/>
      <c r="AJ6" s="150"/>
      <c r="AK6" s="130"/>
      <c r="AL6" s="130"/>
      <c r="AM6" s="131"/>
      <c r="AN6" s="131"/>
    </row>
    <row r="7" spans="1:41" s="3" customFormat="1" ht="14.5" x14ac:dyDescent="0.35">
      <c r="A7" s="24">
        <v>1</v>
      </c>
      <c r="B7" s="11" t="s">
        <v>5</v>
      </c>
      <c r="C7" s="11" t="s">
        <v>61</v>
      </c>
      <c r="D7" s="11">
        <v>102326</v>
      </c>
      <c r="E7" s="11">
        <v>47404</v>
      </c>
      <c r="F7" s="20" t="s">
        <v>560</v>
      </c>
      <c r="G7" s="20" t="s">
        <v>738</v>
      </c>
      <c r="H7" s="6">
        <v>29.360831099999999</v>
      </c>
      <c r="I7" s="6">
        <v>71.694338799999997</v>
      </c>
      <c r="J7" s="12" t="s">
        <v>6</v>
      </c>
      <c r="K7" s="11" t="s">
        <v>306</v>
      </c>
      <c r="L7" s="11" t="s">
        <v>433</v>
      </c>
      <c r="M7" s="11" t="s">
        <v>300</v>
      </c>
      <c r="N7" s="39">
        <f>SUM(P7:R7,T7:V7,X7:Z7,AB7:AD7,AF7:AH7,,,,,AI7:AJ7,)</f>
        <v>5</v>
      </c>
      <c r="O7" s="41" t="s">
        <v>717</v>
      </c>
      <c r="P7" s="42" t="s">
        <v>717</v>
      </c>
      <c r="Q7" s="43" t="s">
        <v>717</v>
      </c>
      <c r="R7" s="44" t="s">
        <v>717</v>
      </c>
      <c r="S7" s="46" t="s">
        <v>588</v>
      </c>
      <c r="T7" s="46">
        <v>3</v>
      </c>
      <c r="U7" s="46">
        <v>2</v>
      </c>
      <c r="V7" s="46">
        <v>0</v>
      </c>
      <c r="W7" s="48" t="s">
        <v>717</v>
      </c>
      <c r="X7" s="49" t="s">
        <v>717</v>
      </c>
      <c r="Y7" s="50" t="s">
        <v>717</v>
      </c>
      <c r="Z7" s="51" t="s">
        <v>717</v>
      </c>
      <c r="AA7" s="53" t="s">
        <v>717</v>
      </c>
      <c r="AB7" s="54" t="s">
        <v>717</v>
      </c>
      <c r="AC7" s="55" t="s">
        <v>717</v>
      </c>
      <c r="AD7" s="56" t="s">
        <v>717</v>
      </c>
      <c r="AE7" s="58" t="s">
        <v>717</v>
      </c>
      <c r="AF7" s="59" t="s">
        <v>717</v>
      </c>
      <c r="AG7" s="60" t="s">
        <v>717</v>
      </c>
      <c r="AH7" s="61" t="s">
        <v>717</v>
      </c>
      <c r="AI7" s="64"/>
      <c r="AJ7" s="65"/>
      <c r="AK7" s="22" t="s">
        <v>717</v>
      </c>
      <c r="AL7" s="23"/>
      <c r="AM7" s="23"/>
    </row>
    <row r="8" spans="1:41" s="3" customFormat="1" ht="14.5" x14ac:dyDescent="0.35">
      <c r="A8" s="24">
        <v>2</v>
      </c>
      <c r="B8" s="11" t="s">
        <v>5</v>
      </c>
      <c r="C8" s="11" t="s">
        <v>311</v>
      </c>
      <c r="D8" s="11">
        <v>119419</v>
      </c>
      <c r="E8" s="11">
        <v>48101</v>
      </c>
      <c r="F8" s="20" t="s">
        <v>560</v>
      </c>
      <c r="G8" s="20" t="s">
        <v>738</v>
      </c>
      <c r="H8" s="6">
        <v>28.371590000000001</v>
      </c>
      <c r="I8" s="6">
        <v>70.167460000000005</v>
      </c>
      <c r="J8" s="12" t="s">
        <v>102</v>
      </c>
      <c r="K8" s="11" t="s">
        <v>6</v>
      </c>
      <c r="L8" s="11" t="s">
        <v>433</v>
      </c>
      <c r="M8" s="11" t="s">
        <v>543</v>
      </c>
      <c r="N8" s="39">
        <f t="shared" ref="N8:N71" si="0">SUM(P8:R8,T8:V8,X8:Z8,AB8:AD8,AF8:AH8,,,,,AI8:AJ8,)</f>
        <v>4</v>
      </c>
      <c r="O8" s="41" t="s">
        <v>592</v>
      </c>
      <c r="P8" s="42" t="s">
        <v>717</v>
      </c>
      <c r="Q8" s="43">
        <v>3</v>
      </c>
      <c r="R8" s="44" t="s">
        <v>717</v>
      </c>
      <c r="S8" s="46" t="s">
        <v>581</v>
      </c>
      <c r="T8" s="46">
        <v>1</v>
      </c>
      <c r="U8" s="46" t="s">
        <v>717</v>
      </c>
      <c r="V8" s="46" t="s">
        <v>717</v>
      </c>
      <c r="W8" s="48" t="s">
        <v>717</v>
      </c>
      <c r="X8" s="49" t="s">
        <v>717</v>
      </c>
      <c r="Y8" s="50" t="s">
        <v>717</v>
      </c>
      <c r="Z8" s="51" t="s">
        <v>717</v>
      </c>
      <c r="AA8" s="53" t="s">
        <v>717</v>
      </c>
      <c r="AB8" s="54" t="s">
        <v>717</v>
      </c>
      <c r="AC8" s="55" t="s">
        <v>717</v>
      </c>
      <c r="AD8" s="56" t="s">
        <v>717</v>
      </c>
      <c r="AE8" s="58" t="s">
        <v>717</v>
      </c>
      <c r="AF8" s="59" t="s">
        <v>717</v>
      </c>
      <c r="AG8" s="60" t="s">
        <v>717</v>
      </c>
      <c r="AH8" s="61" t="s">
        <v>717</v>
      </c>
      <c r="AI8" s="64"/>
      <c r="AJ8" s="66"/>
      <c r="AK8" s="36">
        <v>3</v>
      </c>
      <c r="AL8" s="23"/>
      <c r="AM8" s="23"/>
      <c r="AN8" s="123">
        <f>N8-AK8</f>
        <v>1</v>
      </c>
      <c r="AO8" s="31">
        <f>SUM(P8:R8)-AK8</f>
        <v>0</v>
      </c>
    </row>
    <row r="9" spans="1:41" s="3" customFormat="1" ht="14.5" x14ac:dyDescent="0.35">
      <c r="A9" s="24">
        <v>3</v>
      </c>
      <c r="B9" s="11" t="s">
        <v>5</v>
      </c>
      <c r="C9" s="11" t="s">
        <v>315</v>
      </c>
      <c r="D9" s="11">
        <v>116354</v>
      </c>
      <c r="E9" s="11">
        <v>48102</v>
      </c>
      <c r="F9" s="20" t="s">
        <v>560</v>
      </c>
      <c r="G9" s="20" t="s">
        <v>738</v>
      </c>
      <c r="H9" s="6">
        <v>28.511340000000001</v>
      </c>
      <c r="I9" s="6">
        <v>70.242069999999998</v>
      </c>
      <c r="J9" s="12" t="s">
        <v>91</v>
      </c>
      <c r="K9" s="11" t="s">
        <v>91</v>
      </c>
      <c r="L9" s="11" t="s">
        <v>433</v>
      </c>
      <c r="M9" s="11" t="s">
        <v>281</v>
      </c>
      <c r="N9" s="39">
        <f t="shared" si="0"/>
        <v>3</v>
      </c>
      <c r="O9" s="41" t="s">
        <v>606</v>
      </c>
      <c r="P9" s="42" t="s">
        <v>717</v>
      </c>
      <c r="Q9" s="43">
        <v>2</v>
      </c>
      <c r="R9" s="44" t="s">
        <v>717</v>
      </c>
      <c r="S9" s="46" t="s">
        <v>717</v>
      </c>
      <c r="T9" s="46" t="s">
        <v>717</v>
      </c>
      <c r="U9" s="46" t="s">
        <v>717</v>
      </c>
      <c r="V9" s="46" t="s">
        <v>717</v>
      </c>
      <c r="W9" s="48" t="s">
        <v>717</v>
      </c>
      <c r="X9" s="49" t="s">
        <v>717</v>
      </c>
      <c r="Y9" s="50" t="s">
        <v>717</v>
      </c>
      <c r="Z9" s="51" t="s">
        <v>717</v>
      </c>
      <c r="AA9" s="53" t="s">
        <v>717</v>
      </c>
      <c r="AB9" s="54" t="s">
        <v>717</v>
      </c>
      <c r="AC9" s="55" t="s">
        <v>717</v>
      </c>
      <c r="AD9" s="56" t="s">
        <v>717</v>
      </c>
      <c r="AE9" s="58" t="s">
        <v>596</v>
      </c>
      <c r="AF9" s="59" t="s">
        <v>717</v>
      </c>
      <c r="AG9" s="60">
        <v>1</v>
      </c>
      <c r="AH9" s="61" t="s">
        <v>717</v>
      </c>
      <c r="AI9" s="64"/>
      <c r="AJ9" s="66"/>
      <c r="AK9" s="36">
        <v>2</v>
      </c>
      <c r="AL9" s="23"/>
      <c r="AM9" s="23"/>
      <c r="AN9" s="123">
        <f>N9-AK9</f>
        <v>1</v>
      </c>
      <c r="AO9" s="31">
        <f>SUM(P9:R9)-AK9</f>
        <v>0</v>
      </c>
    </row>
    <row r="10" spans="1:41" s="3" customFormat="1" ht="14.5" x14ac:dyDescent="0.35">
      <c r="A10" s="24">
        <v>4</v>
      </c>
      <c r="B10" s="11" t="s">
        <v>5</v>
      </c>
      <c r="C10" s="11" t="s">
        <v>492</v>
      </c>
      <c r="D10" s="11">
        <v>118386</v>
      </c>
      <c r="E10" s="11">
        <v>48103</v>
      </c>
      <c r="F10" s="20" t="s">
        <v>560</v>
      </c>
      <c r="G10" s="20" t="s">
        <v>738</v>
      </c>
      <c r="H10" s="6">
        <v>28.42379</v>
      </c>
      <c r="I10" s="6">
        <v>70.289140000000003</v>
      </c>
      <c r="J10" s="12" t="s">
        <v>13</v>
      </c>
      <c r="K10" s="11" t="s">
        <v>91</v>
      </c>
      <c r="L10" s="11" t="s">
        <v>433</v>
      </c>
      <c r="M10" s="11" t="s">
        <v>443</v>
      </c>
      <c r="N10" s="39">
        <f t="shared" si="0"/>
        <v>3</v>
      </c>
      <c r="O10" s="41" t="s">
        <v>592</v>
      </c>
      <c r="P10" s="42">
        <v>0</v>
      </c>
      <c r="Q10" s="43">
        <v>3</v>
      </c>
      <c r="R10" s="44">
        <v>0</v>
      </c>
      <c r="S10" s="46" t="s">
        <v>717</v>
      </c>
      <c r="T10" s="46" t="s">
        <v>717</v>
      </c>
      <c r="U10" s="46" t="s">
        <v>717</v>
      </c>
      <c r="V10" s="46" t="s">
        <v>717</v>
      </c>
      <c r="W10" s="48" t="s">
        <v>717</v>
      </c>
      <c r="X10" s="49" t="s">
        <v>717</v>
      </c>
      <c r="Y10" s="50" t="s">
        <v>717</v>
      </c>
      <c r="Z10" s="51" t="s">
        <v>717</v>
      </c>
      <c r="AA10" s="53" t="s">
        <v>717</v>
      </c>
      <c r="AB10" s="54" t="s">
        <v>717</v>
      </c>
      <c r="AC10" s="55" t="s">
        <v>717</v>
      </c>
      <c r="AD10" s="56" t="s">
        <v>717</v>
      </c>
      <c r="AE10" s="58" t="s">
        <v>717</v>
      </c>
      <c r="AF10" s="59" t="s">
        <v>717</v>
      </c>
      <c r="AG10" s="60" t="s">
        <v>717</v>
      </c>
      <c r="AH10" s="61" t="s">
        <v>717</v>
      </c>
      <c r="AI10" s="64"/>
      <c r="AJ10" s="66"/>
      <c r="AK10" s="22">
        <v>3</v>
      </c>
      <c r="AL10" s="23"/>
      <c r="AM10" s="23"/>
      <c r="AN10" s="123">
        <f>N10-AK10</f>
        <v>0</v>
      </c>
    </row>
    <row r="11" spans="1:41" s="3" customFormat="1" ht="14.5" x14ac:dyDescent="0.35">
      <c r="A11" s="24">
        <v>5</v>
      </c>
      <c r="B11" s="11" t="s">
        <v>5</v>
      </c>
      <c r="C11" s="11" t="s">
        <v>140</v>
      </c>
      <c r="D11" s="11">
        <v>114425</v>
      </c>
      <c r="E11" s="11">
        <v>48104</v>
      </c>
      <c r="F11" s="20" t="s">
        <v>560</v>
      </c>
      <c r="G11" s="20" t="s">
        <v>738</v>
      </c>
      <c r="H11" s="6">
        <v>28.414190000000001</v>
      </c>
      <c r="I11" s="6">
        <v>70.302210000000002</v>
      </c>
      <c r="J11" s="12" t="s">
        <v>91</v>
      </c>
      <c r="K11" s="11" t="s">
        <v>91</v>
      </c>
      <c r="L11" s="11" t="s">
        <v>433</v>
      </c>
      <c r="M11" s="11" t="s">
        <v>277</v>
      </c>
      <c r="N11" s="39">
        <f t="shared" si="0"/>
        <v>4</v>
      </c>
      <c r="O11" s="41" t="s">
        <v>593</v>
      </c>
      <c r="P11" s="42">
        <v>0</v>
      </c>
      <c r="Q11" s="43">
        <v>4</v>
      </c>
      <c r="R11" s="44">
        <v>0</v>
      </c>
      <c r="S11" s="46" t="s">
        <v>717</v>
      </c>
      <c r="T11" s="46" t="s">
        <v>717</v>
      </c>
      <c r="U11" s="46" t="s">
        <v>717</v>
      </c>
      <c r="V11" s="46" t="s">
        <v>717</v>
      </c>
      <c r="W11" s="48" t="s">
        <v>717</v>
      </c>
      <c r="X11" s="49" t="s">
        <v>717</v>
      </c>
      <c r="Y11" s="50" t="s">
        <v>717</v>
      </c>
      <c r="Z11" s="51" t="s">
        <v>717</v>
      </c>
      <c r="AA11" s="53" t="s">
        <v>717</v>
      </c>
      <c r="AB11" s="54" t="s">
        <v>717</v>
      </c>
      <c r="AC11" s="55" t="s">
        <v>717</v>
      </c>
      <c r="AD11" s="56" t="s">
        <v>717</v>
      </c>
      <c r="AE11" s="58" t="s">
        <v>717</v>
      </c>
      <c r="AF11" s="59" t="s">
        <v>717</v>
      </c>
      <c r="AG11" s="60" t="s">
        <v>717</v>
      </c>
      <c r="AH11" s="61" t="s">
        <v>717</v>
      </c>
      <c r="AI11" s="64"/>
      <c r="AJ11" s="66"/>
      <c r="AK11" s="22">
        <v>4</v>
      </c>
      <c r="AL11" s="23"/>
      <c r="AM11" s="23"/>
      <c r="AN11" s="123">
        <f>N11-AK11</f>
        <v>0</v>
      </c>
    </row>
    <row r="12" spans="1:41" s="3" customFormat="1" ht="14.5" x14ac:dyDescent="0.35">
      <c r="A12" s="24">
        <v>6</v>
      </c>
      <c r="B12" s="11" t="s">
        <v>5</v>
      </c>
      <c r="C12" s="15" t="s">
        <v>475</v>
      </c>
      <c r="D12" s="11">
        <v>118283</v>
      </c>
      <c r="E12" s="11">
        <v>48105</v>
      </c>
      <c r="F12" s="20" t="s">
        <v>560</v>
      </c>
      <c r="G12" s="20" t="s">
        <v>739</v>
      </c>
      <c r="H12" s="6">
        <v>28.429020000000001</v>
      </c>
      <c r="I12" s="6">
        <v>70.329490000000007</v>
      </c>
      <c r="J12" s="12" t="s">
        <v>13</v>
      </c>
      <c r="K12" s="11" t="s">
        <v>91</v>
      </c>
      <c r="L12" s="11" t="s">
        <v>433</v>
      </c>
      <c r="M12" s="11" t="s">
        <v>439</v>
      </c>
      <c r="N12" s="39">
        <f t="shared" si="0"/>
        <v>4</v>
      </c>
      <c r="O12" s="41" t="s">
        <v>717</v>
      </c>
      <c r="P12" s="42" t="s">
        <v>717</v>
      </c>
      <c r="Q12" s="43" t="s">
        <v>717</v>
      </c>
      <c r="R12" s="44" t="s">
        <v>717</v>
      </c>
      <c r="S12" s="46" t="s">
        <v>584</v>
      </c>
      <c r="T12" s="46">
        <v>1</v>
      </c>
      <c r="U12" s="46">
        <v>3</v>
      </c>
      <c r="V12" s="46">
        <v>0</v>
      </c>
      <c r="W12" s="48" t="s">
        <v>717</v>
      </c>
      <c r="X12" s="49" t="s">
        <v>717</v>
      </c>
      <c r="Y12" s="50" t="s">
        <v>717</v>
      </c>
      <c r="Z12" s="51" t="s">
        <v>717</v>
      </c>
      <c r="AA12" s="53" t="s">
        <v>717</v>
      </c>
      <c r="AB12" s="54" t="s">
        <v>717</v>
      </c>
      <c r="AC12" s="55" t="s">
        <v>717</v>
      </c>
      <c r="AD12" s="56" t="s">
        <v>717</v>
      </c>
      <c r="AE12" s="58" t="s">
        <v>717</v>
      </c>
      <c r="AF12" s="59" t="s">
        <v>717</v>
      </c>
      <c r="AG12" s="60" t="s">
        <v>717</v>
      </c>
      <c r="AH12" s="61" t="s">
        <v>717</v>
      </c>
      <c r="AI12" s="64"/>
      <c r="AJ12" s="66"/>
      <c r="AK12" s="22" t="s">
        <v>717</v>
      </c>
      <c r="AL12" s="23"/>
      <c r="AM12" s="23"/>
    </row>
    <row r="13" spans="1:41" s="3" customFormat="1" ht="14.5" x14ac:dyDescent="0.35">
      <c r="A13" s="24">
        <v>7</v>
      </c>
      <c r="B13" s="11" t="s">
        <v>5</v>
      </c>
      <c r="C13" s="11" t="s">
        <v>436</v>
      </c>
      <c r="D13" s="11">
        <v>118225</v>
      </c>
      <c r="E13" s="11">
        <v>48107</v>
      </c>
      <c r="F13" s="20" t="s">
        <v>559</v>
      </c>
      <c r="G13" s="20" t="s">
        <v>739</v>
      </c>
      <c r="H13" s="6">
        <v>28.713529999999999</v>
      </c>
      <c r="I13" s="6">
        <v>70.438810000000004</v>
      </c>
      <c r="J13" s="12" t="s">
        <v>91</v>
      </c>
      <c r="K13" s="11" t="s">
        <v>91</v>
      </c>
      <c r="L13" s="11" t="s">
        <v>433</v>
      </c>
      <c r="M13" s="11" t="s">
        <v>437</v>
      </c>
      <c r="N13" s="39">
        <f t="shared" si="0"/>
        <v>5</v>
      </c>
      <c r="O13" s="41" t="s">
        <v>717</v>
      </c>
      <c r="P13" s="42" t="s">
        <v>717</v>
      </c>
      <c r="Q13" s="43" t="s">
        <v>717</v>
      </c>
      <c r="R13" s="44" t="s">
        <v>717</v>
      </c>
      <c r="S13" s="46" t="s">
        <v>717</v>
      </c>
      <c r="T13" s="46" t="s">
        <v>717</v>
      </c>
      <c r="U13" s="46" t="s">
        <v>717</v>
      </c>
      <c r="V13" s="46" t="s">
        <v>717</v>
      </c>
      <c r="W13" s="48" t="s">
        <v>717</v>
      </c>
      <c r="X13" s="49" t="s">
        <v>717</v>
      </c>
      <c r="Y13" s="50" t="s">
        <v>717</v>
      </c>
      <c r="Z13" s="51" t="s">
        <v>717</v>
      </c>
      <c r="AA13" s="53" t="s">
        <v>717</v>
      </c>
      <c r="AB13" s="54" t="s">
        <v>717</v>
      </c>
      <c r="AC13" s="55" t="s">
        <v>717</v>
      </c>
      <c r="AD13" s="56" t="s">
        <v>717</v>
      </c>
      <c r="AE13" s="58" t="s">
        <v>717</v>
      </c>
      <c r="AF13" s="59" t="s">
        <v>717</v>
      </c>
      <c r="AG13" s="60" t="s">
        <v>717</v>
      </c>
      <c r="AH13" s="61" t="s">
        <v>717</v>
      </c>
      <c r="AI13" s="64">
        <v>5</v>
      </c>
      <c r="AJ13" s="66"/>
      <c r="AK13" s="22" t="s">
        <v>717</v>
      </c>
      <c r="AL13" s="23"/>
      <c r="AM13" s="23" t="s">
        <v>671</v>
      </c>
    </row>
    <row r="14" spans="1:41" s="3" customFormat="1" ht="14.5" x14ac:dyDescent="0.35">
      <c r="A14" s="24">
        <v>8</v>
      </c>
      <c r="B14" s="11" t="s">
        <v>5</v>
      </c>
      <c r="C14" s="11" t="s">
        <v>544</v>
      </c>
      <c r="D14" s="11">
        <v>119725</v>
      </c>
      <c r="E14" s="11">
        <v>48108</v>
      </c>
      <c r="F14" s="20" t="s">
        <v>560</v>
      </c>
      <c r="G14" s="20" t="s">
        <v>738</v>
      </c>
      <c r="H14" s="6">
        <v>28.33231</v>
      </c>
      <c r="I14" s="6">
        <v>70.424890000000005</v>
      </c>
      <c r="J14" s="12" t="s">
        <v>91</v>
      </c>
      <c r="K14" s="11" t="s">
        <v>91</v>
      </c>
      <c r="L14" s="11" t="s">
        <v>433</v>
      </c>
      <c r="M14" s="11" t="s">
        <v>545</v>
      </c>
      <c r="N14" s="39">
        <f t="shared" si="0"/>
        <v>3</v>
      </c>
      <c r="O14" s="41" t="s">
        <v>717</v>
      </c>
      <c r="P14" s="42" t="s">
        <v>717</v>
      </c>
      <c r="Q14" s="43" t="s">
        <v>717</v>
      </c>
      <c r="R14" s="44" t="s">
        <v>717</v>
      </c>
      <c r="S14" s="46" t="s">
        <v>595</v>
      </c>
      <c r="T14" s="46">
        <v>0</v>
      </c>
      <c r="U14" s="46">
        <v>2</v>
      </c>
      <c r="V14" s="46">
        <v>1</v>
      </c>
      <c r="W14" s="48" t="s">
        <v>717</v>
      </c>
      <c r="X14" s="49" t="s">
        <v>717</v>
      </c>
      <c r="Y14" s="50" t="s">
        <v>717</v>
      </c>
      <c r="Z14" s="51" t="s">
        <v>717</v>
      </c>
      <c r="AA14" s="53" t="s">
        <v>717</v>
      </c>
      <c r="AB14" s="54" t="s">
        <v>717</v>
      </c>
      <c r="AC14" s="55" t="s">
        <v>717</v>
      </c>
      <c r="AD14" s="56" t="s">
        <v>717</v>
      </c>
      <c r="AE14" s="58" t="s">
        <v>717</v>
      </c>
      <c r="AF14" s="59" t="s">
        <v>717</v>
      </c>
      <c r="AG14" s="60" t="s">
        <v>717</v>
      </c>
      <c r="AH14" s="61" t="s">
        <v>717</v>
      </c>
      <c r="AI14" s="64"/>
      <c r="AJ14" s="66"/>
      <c r="AK14" s="22" t="s">
        <v>717</v>
      </c>
      <c r="AL14" s="23"/>
      <c r="AM14" s="23"/>
    </row>
    <row r="15" spans="1:41" s="3" customFormat="1" ht="14.5" x14ac:dyDescent="0.35">
      <c r="A15" s="24">
        <v>9</v>
      </c>
      <c r="B15" s="11" t="s">
        <v>5</v>
      </c>
      <c r="C15" s="11" t="s">
        <v>127</v>
      </c>
      <c r="D15" s="11">
        <v>102356</v>
      </c>
      <c r="E15" s="11">
        <v>48109</v>
      </c>
      <c r="F15" s="20" t="s">
        <v>559</v>
      </c>
      <c r="G15" s="20" t="s">
        <v>739</v>
      </c>
      <c r="H15" s="6">
        <v>28.40127</v>
      </c>
      <c r="I15" s="6">
        <v>70.298829999999995</v>
      </c>
      <c r="J15" s="12" t="s">
        <v>13</v>
      </c>
      <c r="K15" s="11" t="s">
        <v>91</v>
      </c>
      <c r="L15" s="11" t="s">
        <v>433</v>
      </c>
      <c r="M15" s="11" t="s">
        <v>280</v>
      </c>
      <c r="N15" s="39">
        <f t="shared" si="0"/>
        <v>4</v>
      </c>
      <c r="O15" s="41" t="s">
        <v>717</v>
      </c>
      <c r="P15" s="42" t="s">
        <v>717</v>
      </c>
      <c r="Q15" s="43" t="s">
        <v>717</v>
      </c>
      <c r="R15" s="44" t="s">
        <v>717</v>
      </c>
      <c r="S15" s="46" t="s">
        <v>717</v>
      </c>
      <c r="T15" s="46" t="s">
        <v>717</v>
      </c>
      <c r="U15" s="46" t="s">
        <v>717</v>
      </c>
      <c r="V15" s="46" t="s">
        <v>717</v>
      </c>
      <c r="W15" s="48" t="s">
        <v>717</v>
      </c>
      <c r="X15" s="49" t="s">
        <v>717</v>
      </c>
      <c r="Y15" s="50" t="s">
        <v>717</v>
      </c>
      <c r="Z15" s="51" t="s">
        <v>717</v>
      </c>
      <c r="AA15" s="53" t="s">
        <v>717</v>
      </c>
      <c r="AB15" s="54" t="s">
        <v>717</v>
      </c>
      <c r="AC15" s="55" t="s">
        <v>717</v>
      </c>
      <c r="AD15" s="56" t="s">
        <v>717</v>
      </c>
      <c r="AE15" s="58" t="s">
        <v>717</v>
      </c>
      <c r="AF15" s="59" t="s">
        <v>717</v>
      </c>
      <c r="AG15" s="60" t="s">
        <v>717</v>
      </c>
      <c r="AH15" s="61" t="s">
        <v>717</v>
      </c>
      <c r="AI15" s="64">
        <v>4</v>
      </c>
      <c r="AJ15" s="66"/>
      <c r="AK15" s="22" t="s">
        <v>717</v>
      </c>
      <c r="AL15" s="23"/>
      <c r="AM15" s="23" t="s">
        <v>704</v>
      </c>
    </row>
    <row r="16" spans="1:41" s="3" customFormat="1" ht="14.5" x14ac:dyDescent="0.35">
      <c r="A16" s="24">
        <v>10</v>
      </c>
      <c r="B16" s="11" t="s">
        <v>5</v>
      </c>
      <c r="C16" s="11" t="s">
        <v>130</v>
      </c>
      <c r="D16" s="11">
        <v>102376</v>
      </c>
      <c r="E16" s="11">
        <v>48113</v>
      </c>
      <c r="F16" s="20" t="s">
        <v>559</v>
      </c>
      <c r="G16" s="20" t="s">
        <v>739</v>
      </c>
      <c r="H16" s="6">
        <v>28.658076000000001</v>
      </c>
      <c r="I16" s="6">
        <v>70.387410000000003</v>
      </c>
      <c r="J16" s="12" t="s">
        <v>13</v>
      </c>
      <c r="K16" s="11" t="s">
        <v>91</v>
      </c>
      <c r="L16" s="11" t="s">
        <v>433</v>
      </c>
      <c r="M16" s="11" t="s">
        <v>285</v>
      </c>
      <c r="N16" s="39">
        <f t="shared" si="0"/>
        <v>3</v>
      </c>
      <c r="O16" s="41" t="s">
        <v>717</v>
      </c>
      <c r="P16" s="42" t="s">
        <v>717</v>
      </c>
      <c r="Q16" s="43" t="s">
        <v>717</v>
      </c>
      <c r="R16" s="44" t="s">
        <v>717</v>
      </c>
      <c r="S16" s="46" t="s">
        <v>717</v>
      </c>
      <c r="T16" s="46" t="s">
        <v>717</v>
      </c>
      <c r="U16" s="46" t="s">
        <v>717</v>
      </c>
      <c r="V16" s="46" t="s">
        <v>717</v>
      </c>
      <c r="W16" s="48" t="s">
        <v>717</v>
      </c>
      <c r="X16" s="49" t="s">
        <v>717</v>
      </c>
      <c r="Y16" s="50" t="s">
        <v>717</v>
      </c>
      <c r="Z16" s="51" t="s">
        <v>717</v>
      </c>
      <c r="AA16" s="53" t="s">
        <v>717</v>
      </c>
      <c r="AB16" s="54" t="s">
        <v>717</v>
      </c>
      <c r="AC16" s="55" t="s">
        <v>717</v>
      </c>
      <c r="AD16" s="56" t="s">
        <v>717</v>
      </c>
      <c r="AE16" s="58" t="s">
        <v>717</v>
      </c>
      <c r="AF16" s="59" t="s">
        <v>717</v>
      </c>
      <c r="AG16" s="60" t="s">
        <v>717</v>
      </c>
      <c r="AH16" s="61" t="s">
        <v>717</v>
      </c>
      <c r="AI16" s="64">
        <v>3</v>
      </c>
      <c r="AJ16" s="66"/>
      <c r="AK16" s="22" t="s">
        <v>717</v>
      </c>
      <c r="AL16" s="23"/>
      <c r="AM16" s="23" t="s">
        <v>667</v>
      </c>
    </row>
    <row r="17" spans="1:41" s="3" customFormat="1" ht="14.5" x14ac:dyDescent="0.35">
      <c r="A17" s="24">
        <v>11</v>
      </c>
      <c r="B17" s="11" t="s">
        <v>5</v>
      </c>
      <c r="C17" s="11" t="s">
        <v>363</v>
      </c>
      <c r="D17" s="11">
        <v>111641</v>
      </c>
      <c r="E17" s="11">
        <v>48114</v>
      </c>
      <c r="F17" s="20" t="s">
        <v>560</v>
      </c>
      <c r="G17" s="20" t="s">
        <v>738</v>
      </c>
      <c r="H17" s="6">
        <v>28.562550000000002</v>
      </c>
      <c r="I17" s="6">
        <v>70.284059999999997</v>
      </c>
      <c r="J17" s="12" t="s">
        <v>412</v>
      </c>
      <c r="K17" s="11" t="s">
        <v>6</v>
      </c>
      <c r="L17" s="11" t="s">
        <v>433</v>
      </c>
      <c r="M17" s="11" t="s">
        <v>289</v>
      </c>
      <c r="N17" s="39">
        <f t="shared" si="0"/>
        <v>4</v>
      </c>
      <c r="O17" s="41" t="s">
        <v>717</v>
      </c>
      <c r="P17" s="42" t="s">
        <v>717</v>
      </c>
      <c r="Q17" s="43" t="s">
        <v>717</v>
      </c>
      <c r="R17" s="44" t="s">
        <v>717</v>
      </c>
      <c r="S17" s="46" t="s">
        <v>584</v>
      </c>
      <c r="T17" s="46">
        <v>4</v>
      </c>
      <c r="U17" s="46">
        <v>0</v>
      </c>
      <c r="V17" s="46">
        <v>0</v>
      </c>
      <c r="W17" s="48" t="s">
        <v>717</v>
      </c>
      <c r="X17" s="49" t="s">
        <v>717</v>
      </c>
      <c r="Y17" s="50" t="s">
        <v>717</v>
      </c>
      <c r="Z17" s="51" t="s">
        <v>717</v>
      </c>
      <c r="AA17" s="53" t="s">
        <v>717</v>
      </c>
      <c r="AB17" s="54" t="s">
        <v>717</v>
      </c>
      <c r="AC17" s="55" t="s">
        <v>717</v>
      </c>
      <c r="AD17" s="56" t="s">
        <v>717</v>
      </c>
      <c r="AE17" s="58" t="s">
        <v>717</v>
      </c>
      <c r="AF17" s="59" t="s">
        <v>717</v>
      </c>
      <c r="AG17" s="60" t="s">
        <v>717</v>
      </c>
      <c r="AH17" s="61" t="s">
        <v>717</v>
      </c>
      <c r="AI17" s="64"/>
      <c r="AJ17" s="66"/>
      <c r="AK17" s="22" t="s">
        <v>717</v>
      </c>
      <c r="AL17" s="23"/>
      <c r="AM17" s="23"/>
    </row>
    <row r="18" spans="1:41" s="3" customFormat="1" ht="14.5" x14ac:dyDescent="0.35">
      <c r="A18" s="24">
        <v>12</v>
      </c>
      <c r="B18" s="11" t="s">
        <v>5</v>
      </c>
      <c r="C18" s="11" t="s">
        <v>141</v>
      </c>
      <c r="D18" s="19">
        <v>111865</v>
      </c>
      <c r="E18" s="11">
        <v>48115</v>
      </c>
      <c r="F18" s="20" t="s">
        <v>560</v>
      </c>
      <c r="G18" s="20" t="s">
        <v>738</v>
      </c>
      <c r="H18" s="6">
        <v>28.536919999999999</v>
      </c>
      <c r="I18" s="6">
        <v>70.264080000000007</v>
      </c>
      <c r="J18" s="12" t="s">
        <v>91</v>
      </c>
      <c r="K18" s="11" t="s">
        <v>91</v>
      </c>
      <c r="L18" s="11" t="s">
        <v>433</v>
      </c>
      <c r="M18" s="11" t="s">
        <v>228</v>
      </c>
      <c r="N18" s="39">
        <f t="shared" si="0"/>
        <v>4</v>
      </c>
      <c r="O18" s="41" t="s">
        <v>606</v>
      </c>
      <c r="P18" s="42" t="s">
        <v>717</v>
      </c>
      <c r="Q18" s="43">
        <v>2</v>
      </c>
      <c r="R18" s="44" t="s">
        <v>717</v>
      </c>
      <c r="S18" s="46" t="s">
        <v>709</v>
      </c>
      <c r="T18" s="46" t="s">
        <v>717</v>
      </c>
      <c r="U18" s="46">
        <v>2</v>
      </c>
      <c r="V18" s="46" t="s">
        <v>717</v>
      </c>
      <c r="W18" s="48" t="s">
        <v>717</v>
      </c>
      <c r="X18" s="49" t="s">
        <v>717</v>
      </c>
      <c r="Y18" s="50" t="s">
        <v>717</v>
      </c>
      <c r="Z18" s="51" t="s">
        <v>717</v>
      </c>
      <c r="AA18" s="53" t="s">
        <v>717</v>
      </c>
      <c r="AB18" s="54" t="s">
        <v>717</v>
      </c>
      <c r="AC18" s="55" t="s">
        <v>717</v>
      </c>
      <c r="AD18" s="56" t="s">
        <v>717</v>
      </c>
      <c r="AE18" s="58" t="s">
        <v>717</v>
      </c>
      <c r="AF18" s="59" t="s">
        <v>717</v>
      </c>
      <c r="AG18" s="60" t="s">
        <v>717</v>
      </c>
      <c r="AH18" s="61" t="s">
        <v>717</v>
      </c>
      <c r="AI18" s="67"/>
      <c r="AJ18" s="66"/>
      <c r="AK18" s="36">
        <v>3</v>
      </c>
      <c r="AL18" s="23"/>
      <c r="AM18" s="23"/>
      <c r="AN18" s="123">
        <f>N18-AK18</f>
        <v>1</v>
      </c>
      <c r="AO18" s="31">
        <f>SUM(P18:R18)-AK18</f>
        <v>-1</v>
      </c>
    </row>
    <row r="19" spans="1:41" s="3" customFormat="1" ht="14.5" x14ac:dyDescent="0.35">
      <c r="A19" s="24">
        <v>13</v>
      </c>
      <c r="B19" s="11" t="s">
        <v>5</v>
      </c>
      <c r="C19" s="11" t="s">
        <v>307</v>
      </c>
      <c r="D19" s="11">
        <v>114400</v>
      </c>
      <c r="E19" s="11">
        <v>48116</v>
      </c>
      <c r="F19" s="20" t="s">
        <v>559</v>
      </c>
      <c r="G19" s="20" t="s">
        <v>739</v>
      </c>
      <c r="H19" s="6">
        <v>28.486360000000001</v>
      </c>
      <c r="I19" s="6">
        <v>70.408690000000007</v>
      </c>
      <c r="J19" s="12" t="s">
        <v>91</v>
      </c>
      <c r="K19" s="11" t="s">
        <v>91</v>
      </c>
      <c r="L19" s="11" t="s">
        <v>433</v>
      </c>
      <c r="M19" s="11" t="s">
        <v>308</v>
      </c>
      <c r="N19" s="39">
        <f t="shared" si="0"/>
        <v>3</v>
      </c>
      <c r="O19" s="41" t="s">
        <v>717</v>
      </c>
      <c r="P19" s="42" t="s">
        <v>717</v>
      </c>
      <c r="Q19" s="43" t="s">
        <v>717</v>
      </c>
      <c r="R19" s="44" t="s">
        <v>717</v>
      </c>
      <c r="S19" s="46" t="s">
        <v>717</v>
      </c>
      <c r="T19" s="46" t="s">
        <v>717</v>
      </c>
      <c r="U19" s="46" t="s">
        <v>717</v>
      </c>
      <c r="V19" s="46" t="s">
        <v>717</v>
      </c>
      <c r="W19" s="48" t="s">
        <v>717</v>
      </c>
      <c r="X19" s="49" t="s">
        <v>717</v>
      </c>
      <c r="Y19" s="50" t="s">
        <v>717</v>
      </c>
      <c r="Z19" s="51" t="s">
        <v>717</v>
      </c>
      <c r="AA19" s="53" t="s">
        <v>717</v>
      </c>
      <c r="AB19" s="54" t="s">
        <v>717</v>
      </c>
      <c r="AC19" s="55" t="s">
        <v>717</v>
      </c>
      <c r="AD19" s="56" t="s">
        <v>717</v>
      </c>
      <c r="AE19" s="58" t="s">
        <v>717</v>
      </c>
      <c r="AF19" s="59" t="s">
        <v>717</v>
      </c>
      <c r="AG19" s="60" t="s">
        <v>717</v>
      </c>
      <c r="AH19" s="61" t="s">
        <v>717</v>
      </c>
      <c r="AI19" s="64">
        <v>3</v>
      </c>
      <c r="AJ19" s="66"/>
      <c r="AK19" s="22" t="s">
        <v>717</v>
      </c>
      <c r="AL19" s="23"/>
      <c r="AM19" s="23" t="s">
        <v>664</v>
      </c>
    </row>
    <row r="20" spans="1:41" s="3" customFormat="1" ht="14.5" x14ac:dyDescent="0.35">
      <c r="A20" s="24">
        <v>14</v>
      </c>
      <c r="B20" s="11" t="s">
        <v>5</v>
      </c>
      <c r="C20" s="11" t="s">
        <v>128</v>
      </c>
      <c r="D20" s="11">
        <v>118679</v>
      </c>
      <c r="E20" s="11">
        <v>48119</v>
      </c>
      <c r="F20" s="20" t="s">
        <v>559</v>
      </c>
      <c r="G20" s="20" t="s">
        <v>739</v>
      </c>
      <c r="H20" s="6">
        <v>28.437411999999998</v>
      </c>
      <c r="I20" s="6">
        <v>70.309818000000007</v>
      </c>
      <c r="J20" s="12" t="s">
        <v>13</v>
      </c>
      <c r="K20" s="11" t="s">
        <v>91</v>
      </c>
      <c r="L20" s="11" t="s">
        <v>433</v>
      </c>
      <c r="M20" s="11" t="s">
        <v>446</v>
      </c>
      <c r="N20" s="39">
        <f t="shared" si="0"/>
        <v>3</v>
      </c>
      <c r="O20" s="41" t="s">
        <v>717</v>
      </c>
      <c r="P20" s="42" t="s">
        <v>717</v>
      </c>
      <c r="Q20" s="43" t="s">
        <v>717</v>
      </c>
      <c r="R20" s="44" t="s">
        <v>717</v>
      </c>
      <c r="S20" s="46" t="s">
        <v>717</v>
      </c>
      <c r="T20" s="46" t="s">
        <v>717</v>
      </c>
      <c r="U20" s="46" t="s">
        <v>717</v>
      </c>
      <c r="V20" s="46" t="s">
        <v>717</v>
      </c>
      <c r="W20" s="48" t="s">
        <v>717</v>
      </c>
      <c r="X20" s="49" t="s">
        <v>717</v>
      </c>
      <c r="Y20" s="50" t="s">
        <v>717</v>
      </c>
      <c r="Z20" s="51" t="s">
        <v>717</v>
      </c>
      <c r="AA20" s="53" t="s">
        <v>717</v>
      </c>
      <c r="AB20" s="54" t="s">
        <v>717</v>
      </c>
      <c r="AC20" s="55" t="s">
        <v>717</v>
      </c>
      <c r="AD20" s="56" t="s">
        <v>717</v>
      </c>
      <c r="AE20" s="58" t="s">
        <v>717</v>
      </c>
      <c r="AF20" s="59" t="s">
        <v>717</v>
      </c>
      <c r="AG20" s="60" t="s">
        <v>717</v>
      </c>
      <c r="AH20" s="61" t="s">
        <v>717</v>
      </c>
      <c r="AI20" s="64">
        <v>3</v>
      </c>
      <c r="AJ20" s="66"/>
      <c r="AK20" s="22" t="s">
        <v>717</v>
      </c>
      <c r="AL20" s="23"/>
      <c r="AM20" s="23" t="s">
        <v>660</v>
      </c>
    </row>
    <row r="21" spans="1:41" s="3" customFormat="1" ht="14.5" x14ac:dyDescent="0.35">
      <c r="A21" s="24">
        <v>15</v>
      </c>
      <c r="B21" s="11" t="s">
        <v>5</v>
      </c>
      <c r="C21" s="11" t="s">
        <v>480</v>
      </c>
      <c r="D21" s="11">
        <v>115971</v>
      </c>
      <c r="E21" s="11">
        <v>48120</v>
      </c>
      <c r="F21" s="20" t="s">
        <v>559</v>
      </c>
      <c r="G21" s="20" t="s">
        <v>739</v>
      </c>
      <c r="H21" s="6">
        <v>28.40502</v>
      </c>
      <c r="I21" s="6">
        <v>70.318860000000001</v>
      </c>
      <c r="J21" s="12" t="s">
        <v>91</v>
      </c>
      <c r="K21" s="11" t="s">
        <v>91</v>
      </c>
      <c r="L21" s="11" t="s">
        <v>433</v>
      </c>
      <c r="M21" s="11" t="s">
        <v>274</v>
      </c>
      <c r="N21" s="39">
        <f t="shared" si="0"/>
        <v>3</v>
      </c>
      <c r="O21" s="41" t="s">
        <v>717</v>
      </c>
      <c r="P21" s="42" t="s">
        <v>717</v>
      </c>
      <c r="Q21" s="43" t="s">
        <v>717</v>
      </c>
      <c r="R21" s="44" t="s">
        <v>717</v>
      </c>
      <c r="S21" s="46" t="s">
        <v>717</v>
      </c>
      <c r="T21" s="46" t="s">
        <v>717</v>
      </c>
      <c r="U21" s="46" t="s">
        <v>717</v>
      </c>
      <c r="V21" s="46" t="s">
        <v>717</v>
      </c>
      <c r="W21" s="48" t="s">
        <v>717</v>
      </c>
      <c r="X21" s="49" t="s">
        <v>717</v>
      </c>
      <c r="Y21" s="50" t="s">
        <v>717</v>
      </c>
      <c r="Z21" s="51" t="s">
        <v>717</v>
      </c>
      <c r="AA21" s="53" t="s">
        <v>717</v>
      </c>
      <c r="AB21" s="54" t="s">
        <v>717</v>
      </c>
      <c r="AC21" s="55" t="s">
        <v>717</v>
      </c>
      <c r="AD21" s="56" t="s">
        <v>717</v>
      </c>
      <c r="AE21" s="58" t="s">
        <v>717</v>
      </c>
      <c r="AF21" s="59" t="s">
        <v>717</v>
      </c>
      <c r="AG21" s="60" t="s">
        <v>717</v>
      </c>
      <c r="AH21" s="61" t="s">
        <v>717</v>
      </c>
      <c r="AI21" s="64">
        <v>3</v>
      </c>
      <c r="AJ21" s="66"/>
      <c r="AK21" s="22" t="s">
        <v>717</v>
      </c>
      <c r="AL21" s="23"/>
      <c r="AM21" s="23" t="s">
        <v>696</v>
      </c>
    </row>
    <row r="22" spans="1:41" s="3" customFormat="1" ht="14.5" x14ac:dyDescent="0.35">
      <c r="A22" s="24">
        <v>16</v>
      </c>
      <c r="B22" s="11" t="s">
        <v>5</v>
      </c>
      <c r="C22" s="11" t="s">
        <v>137</v>
      </c>
      <c r="D22" s="11">
        <v>102430</v>
      </c>
      <c r="E22" s="11">
        <v>48121</v>
      </c>
      <c r="F22" s="20" t="s">
        <v>560</v>
      </c>
      <c r="G22" s="20" t="s">
        <v>738</v>
      </c>
      <c r="H22" s="6">
        <v>28.61017</v>
      </c>
      <c r="I22" s="6">
        <v>70.178240000000002</v>
      </c>
      <c r="J22" s="12" t="s">
        <v>13</v>
      </c>
      <c r="K22" s="11" t="s">
        <v>91</v>
      </c>
      <c r="L22" s="11" t="s">
        <v>433</v>
      </c>
      <c r="M22" s="11" t="s">
        <v>295</v>
      </c>
      <c r="N22" s="39">
        <f t="shared" si="0"/>
        <v>3</v>
      </c>
      <c r="O22" s="41" t="s">
        <v>592</v>
      </c>
      <c r="P22" s="42">
        <v>0</v>
      </c>
      <c r="Q22" s="43">
        <v>3</v>
      </c>
      <c r="R22" s="44">
        <v>0</v>
      </c>
      <c r="S22" s="46" t="s">
        <v>717</v>
      </c>
      <c r="T22" s="46" t="s">
        <v>717</v>
      </c>
      <c r="U22" s="46" t="s">
        <v>717</v>
      </c>
      <c r="V22" s="46" t="s">
        <v>717</v>
      </c>
      <c r="W22" s="48" t="s">
        <v>717</v>
      </c>
      <c r="X22" s="49" t="s">
        <v>717</v>
      </c>
      <c r="Y22" s="50" t="s">
        <v>717</v>
      </c>
      <c r="Z22" s="51" t="s">
        <v>717</v>
      </c>
      <c r="AA22" s="53" t="s">
        <v>717</v>
      </c>
      <c r="AB22" s="54" t="s">
        <v>717</v>
      </c>
      <c r="AC22" s="55" t="s">
        <v>717</v>
      </c>
      <c r="AD22" s="56" t="s">
        <v>717</v>
      </c>
      <c r="AE22" s="58" t="s">
        <v>717</v>
      </c>
      <c r="AF22" s="59" t="s">
        <v>717</v>
      </c>
      <c r="AG22" s="60" t="s">
        <v>717</v>
      </c>
      <c r="AH22" s="61" t="s">
        <v>717</v>
      </c>
      <c r="AI22" s="64"/>
      <c r="AJ22" s="66"/>
      <c r="AK22" s="22">
        <v>3</v>
      </c>
      <c r="AL22" s="23"/>
      <c r="AM22" s="23"/>
      <c r="AN22" s="123">
        <f>N22-AK22</f>
        <v>0</v>
      </c>
    </row>
    <row r="23" spans="1:41" s="3" customFormat="1" ht="14.5" x14ac:dyDescent="0.35">
      <c r="A23" s="24">
        <v>17</v>
      </c>
      <c r="B23" s="11" t="s">
        <v>5</v>
      </c>
      <c r="C23" s="11" t="s">
        <v>129</v>
      </c>
      <c r="D23" s="11">
        <v>102461</v>
      </c>
      <c r="E23" s="11">
        <v>48123</v>
      </c>
      <c r="F23" s="20" t="s">
        <v>559</v>
      </c>
      <c r="G23" s="20" t="s">
        <v>739</v>
      </c>
      <c r="H23" s="6">
        <v>28.42906</v>
      </c>
      <c r="I23" s="6">
        <v>70.324910000000003</v>
      </c>
      <c r="J23" s="12" t="s">
        <v>13</v>
      </c>
      <c r="K23" s="11" t="s">
        <v>91</v>
      </c>
      <c r="L23" s="11" t="s">
        <v>433</v>
      </c>
      <c r="M23" s="11" t="s">
        <v>282</v>
      </c>
      <c r="N23" s="39">
        <f t="shared" si="0"/>
        <v>3</v>
      </c>
      <c r="O23" s="41" t="s">
        <v>717</v>
      </c>
      <c r="P23" s="42" t="s">
        <v>717</v>
      </c>
      <c r="Q23" s="43" t="s">
        <v>717</v>
      </c>
      <c r="R23" s="44" t="s">
        <v>717</v>
      </c>
      <c r="S23" s="46" t="s">
        <v>717</v>
      </c>
      <c r="T23" s="46" t="s">
        <v>717</v>
      </c>
      <c r="U23" s="46" t="s">
        <v>717</v>
      </c>
      <c r="V23" s="46" t="s">
        <v>717</v>
      </c>
      <c r="W23" s="48" t="s">
        <v>717</v>
      </c>
      <c r="X23" s="49" t="s">
        <v>717</v>
      </c>
      <c r="Y23" s="50" t="s">
        <v>717</v>
      </c>
      <c r="Z23" s="51" t="s">
        <v>717</v>
      </c>
      <c r="AA23" s="53" t="s">
        <v>717</v>
      </c>
      <c r="AB23" s="54" t="s">
        <v>717</v>
      </c>
      <c r="AC23" s="55" t="s">
        <v>717</v>
      </c>
      <c r="AD23" s="56" t="s">
        <v>717</v>
      </c>
      <c r="AE23" s="58" t="s">
        <v>717</v>
      </c>
      <c r="AF23" s="59" t="s">
        <v>717</v>
      </c>
      <c r="AG23" s="60" t="s">
        <v>717</v>
      </c>
      <c r="AH23" s="61" t="s">
        <v>717</v>
      </c>
      <c r="AI23" s="64">
        <v>3</v>
      </c>
      <c r="AJ23" s="66"/>
      <c r="AK23" s="22" t="s">
        <v>717</v>
      </c>
      <c r="AL23" s="23"/>
      <c r="AM23" s="23" t="s">
        <v>696</v>
      </c>
    </row>
    <row r="24" spans="1:41" s="3" customFormat="1" ht="14.5" x14ac:dyDescent="0.35">
      <c r="A24" s="24">
        <v>18</v>
      </c>
      <c r="B24" s="11" t="s">
        <v>5</v>
      </c>
      <c r="C24" s="11" t="s">
        <v>124</v>
      </c>
      <c r="D24" s="11">
        <v>102565</v>
      </c>
      <c r="E24" s="11">
        <v>48126</v>
      </c>
      <c r="F24" s="20" t="s">
        <v>559</v>
      </c>
      <c r="G24" s="20" t="s">
        <v>739</v>
      </c>
      <c r="H24" s="6">
        <v>28.398679999999999</v>
      </c>
      <c r="I24" s="6">
        <v>70.326269999999994</v>
      </c>
      <c r="J24" s="12" t="s">
        <v>13</v>
      </c>
      <c r="K24" s="11" t="s">
        <v>91</v>
      </c>
      <c r="L24" s="11" t="s">
        <v>433</v>
      </c>
      <c r="M24" s="11" t="s">
        <v>276</v>
      </c>
      <c r="N24" s="39">
        <f t="shared" si="0"/>
        <v>4</v>
      </c>
      <c r="O24" s="41" t="s">
        <v>717</v>
      </c>
      <c r="P24" s="42" t="s">
        <v>717</v>
      </c>
      <c r="Q24" s="43" t="s">
        <v>717</v>
      </c>
      <c r="R24" s="44" t="s">
        <v>717</v>
      </c>
      <c r="S24" s="46" t="s">
        <v>717</v>
      </c>
      <c r="T24" s="46" t="s">
        <v>717</v>
      </c>
      <c r="U24" s="46" t="s">
        <v>717</v>
      </c>
      <c r="V24" s="46" t="s">
        <v>717</v>
      </c>
      <c r="W24" s="48" t="s">
        <v>717</v>
      </c>
      <c r="X24" s="49" t="s">
        <v>717</v>
      </c>
      <c r="Y24" s="50" t="s">
        <v>717</v>
      </c>
      <c r="Z24" s="51" t="s">
        <v>717</v>
      </c>
      <c r="AA24" s="53" t="s">
        <v>717</v>
      </c>
      <c r="AB24" s="54" t="s">
        <v>717</v>
      </c>
      <c r="AC24" s="55" t="s">
        <v>717</v>
      </c>
      <c r="AD24" s="56" t="s">
        <v>717</v>
      </c>
      <c r="AE24" s="58" t="s">
        <v>717</v>
      </c>
      <c r="AF24" s="59" t="s">
        <v>717</v>
      </c>
      <c r="AG24" s="60" t="s">
        <v>717</v>
      </c>
      <c r="AH24" s="61" t="s">
        <v>717</v>
      </c>
      <c r="AI24" s="64">
        <v>4</v>
      </c>
      <c r="AJ24" s="66"/>
      <c r="AK24" s="22" t="s">
        <v>717</v>
      </c>
      <c r="AL24" s="23"/>
      <c r="AM24" s="23" t="s">
        <v>640</v>
      </c>
    </row>
    <row r="25" spans="1:41" s="3" customFormat="1" ht="14.5" x14ac:dyDescent="0.35">
      <c r="A25" s="24">
        <v>19</v>
      </c>
      <c r="B25" s="11" t="s">
        <v>5</v>
      </c>
      <c r="C25" s="11" t="s">
        <v>135</v>
      </c>
      <c r="D25" s="11">
        <v>103079</v>
      </c>
      <c r="E25" s="11">
        <v>48130</v>
      </c>
      <c r="F25" s="20" t="s">
        <v>559</v>
      </c>
      <c r="G25" s="20" t="s">
        <v>739</v>
      </c>
      <c r="H25" s="6">
        <v>28.349710000000002</v>
      </c>
      <c r="I25" s="6">
        <v>70.341080000000005</v>
      </c>
      <c r="J25" s="12" t="s">
        <v>13</v>
      </c>
      <c r="K25" s="11" t="s">
        <v>91</v>
      </c>
      <c r="L25" s="11" t="s">
        <v>433</v>
      </c>
      <c r="M25" s="11" t="s">
        <v>294</v>
      </c>
      <c r="N25" s="39">
        <f t="shared" si="0"/>
        <v>3</v>
      </c>
      <c r="O25" s="41" t="s">
        <v>717</v>
      </c>
      <c r="P25" s="42" t="s">
        <v>717</v>
      </c>
      <c r="Q25" s="43" t="s">
        <v>717</v>
      </c>
      <c r="R25" s="44" t="s">
        <v>717</v>
      </c>
      <c r="S25" s="46" t="s">
        <v>717</v>
      </c>
      <c r="T25" s="46" t="s">
        <v>717</v>
      </c>
      <c r="U25" s="46" t="s">
        <v>717</v>
      </c>
      <c r="V25" s="46" t="s">
        <v>717</v>
      </c>
      <c r="W25" s="48" t="s">
        <v>717</v>
      </c>
      <c r="X25" s="49" t="s">
        <v>717</v>
      </c>
      <c r="Y25" s="50" t="s">
        <v>717</v>
      </c>
      <c r="Z25" s="51" t="s">
        <v>717</v>
      </c>
      <c r="AA25" s="53" t="s">
        <v>717</v>
      </c>
      <c r="AB25" s="54" t="s">
        <v>717</v>
      </c>
      <c r="AC25" s="55" t="s">
        <v>717</v>
      </c>
      <c r="AD25" s="56" t="s">
        <v>717</v>
      </c>
      <c r="AE25" s="58" t="s">
        <v>717</v>
      </c>
      <c r="AF25" s="59" t="s">
        <v>717</v>
      </c>
      <c r="AG25" s="60" t="s">
        <v>717</v>
      </c>
      <c r="AH25" s="61" t="s">
        <v>717</v>
      </c>
      <c r="AI25" s="64">
        <v>3</v>
      </c>
      <c r="AJ25" s="66"/>
      <c r="AK25" s="22" t="s">
        <v>717</v>
      </c>
      <c r="AL25" s="23"/>
      <c r="AM25" s="23" t="s">
        <v>695</v>
      </c>
    </row>
    <row r="26" spans="1:41" s="3" customFormat="1" ht="14.5" x14ac:dyDescent="0.35">
      <c r="A26" s="24">
        <v>20</v>
      </c>
      <c r="B26" s="11" t="s">
        <v>5</v>
      </c>
      <c r="C26" s="11" t="s">
        <v>488</v>
      </c>
      <c r="D26" s="11">
        <v>118012</v>
      </c>
      <c r="E26" s="11">
        <v>48131</v>
      </c>
      <c r="F26" s="20" t="s">
        <v>560</v>
      </c>
      <c r="G26" s="20" t="s">
        <v>738</v>
      </c>
      <c r="H26" s="6">
        <v>28.483059999999998</v>
      </c>
      <c r="I26" s="6">
        <v>70.232259999999997</v>
      </c>
      <c r="J26" s="12" t="s">
        <v>13</v>
      </c>
      <c r="K26" s="11" t="s">
        <v>91</v>
      </c>
      <c r="L26" s="11" t="s">
        <v>433</v>
      </c>
      <c r="M26" s="11" t="s">
        <v>431</v>
      </c>
      <c r="N26" s="39">
        <f t="shared" si="0"/>
        <v>4</v>
      </c>
      <c r="O26" s="41" t="s">
        <v>597</v>
      </c>
      <c r="P26" s="42" t="s">
        <v>717</v>
      </c>
      <c r="Q26" s="43">
        <v>3</v>
      </c>
      <c r="R26" s="44" t="s">
        <v>717</v>
      </c>
      <c r="S26" s="46" t="s">
        <v>710</v>
      </c>
      <c r="T26" s="46" t="s">
        <v>717</v>
      </c>
      <c r="U26" s="46">
        <v>1</v>
      </c>
      <c r="V26" s="46" t="s">
        <v>717</v>
      </c>
      <c r="W26" s="48" t="s">
        <v>717</v>
      </c>
      <c r="X26" s="49" t="s">
        <v>717</v>
      </c>
      <c r="Y26" s="50" t="s">
        <v>717</v>
      </c>
      <c r="Z26" s="51" t="s">
        <v>717</v>
      </c>
      <c r="AA26" s="53" t="s">
        <v>717</v>
      </c>
      <c r="AB26" s="54" t="s">
        <v>717</v>
      </c>
      <c r="AC26" s="55" t="s">
        <v>717</v>
      </c>
      <c r="AD26" s="56" t="s">
        <v>717</v>
      </c>
      <c r="AE26" s="58" t="s">
        <v>717</v>
      </c>
      <c r="AF26" s="59" t="s">
        <v>717</v>
      </c>
      <c r="AG26" s="60" t="s">
        <v>717</v>
      </c>
      <c r="AH26" s="61" t="s">
        <v>717</v>
      </c>
      <c r="AI26" s="64"/>
      <c r="AJ26" s="66"/>
      <c r="AK26" s="36">
        <v>3</v>
      </c>
      <c r="AL26" s="23"/>
      <c r="AM26" s="23"/>
      <c r="AN26" s="123">
        <f>N26-AK26</f>
        <v>1</v>
      </c>
      <c r="AO26" s="31">
        <f>SUM(P26:R26)-AK26</f>
        <v>0</v>
      </c>
    </row>
    <row r="27" spans="1:41" s="3" customFormat="1" ht="14.5" x14ac:dyDescent="0.35">
      <c r="A27" s="24">
        <v>21</v>
      </c>
      <c r="B27" s="11" t="s">
        <v>5</v>
      </c>
      <c r="C27" s="11" t="s">
        <v>489</v>
      </c>
      <c r="D27" s="11">
        <v>116911</v>
      </c>
      <c r="E27" s="11">
        <v>48132</v>
      </c>
      <c r="F27" s="20" t="s">
        <v>559</v>
      </c>
      <c r="G27" s="20" t="s">
        <v>739</v>
      </c>
      <c r="H27" s="6">
        <v>28.79147</v>
      </c>
      <c r="I27" s="6">
        <v>70.409030000000001</v>
      </c>
      <c r="J27" s="12" t="s">
        <v>91</v>
      </c>
      <c r="K27" s="11" t="s">
        <v>91</v>
      </c>
      <c r="L27" s="11" t="s">
        <v>433</v>
      </c>
      <c r="M27" s="11" t="s">
        <v>288</v>
      </c>
      <c r="N27" s="39">
        <f t="shared" si="0"/>
        <v>2</v>
      </c>
      <c r="O27" s="41" t="s">
        <v>717</v>
      </c>
      <c r="P27" s="42" t="s">
        <v>717</v>
      </c>
      <c r="Q27" s="43" t="s">
        <v>717</v>
      </c>
      <c r="R27" s="44" t="s">
        <v>717</v>
      </c>
      <c r="S27" s="46" t="s">
        <v>717</v>
      </c>
      <c r="T27" s="46" t="s">
        <v>717</v>
      </c>
      <c r="U27" s="46" t="s">
        <v>717</v>
      </c>
      <c r="V27" s="46" t="s">
        <v>717</v>
      </c>
      <c r="W27" s="48" t="s">
        <v>717</v>
      </c>
      <c r="X27" s="49" t="s">
        <v>717</v>
      </c>
      <c r="Y27" s="50" t="s">
        <v>717</v>
      </c>
      <c r="Z27" s="51" t="s">
        <v>717</v>
      </c>
      <c r="AA27" s="53" t="s">
        <v>717</v>
      </c>
      <c r="AB27" s="54" t="s">
        <v>717</v>
      </c>
      <c r="AC27" s="55" t="s">
        <v>717</v>
      </c>
      <c r="AD27" s="56" t="s">
        <v>717</v>
      </c>
      <c r="AE27" s="58" t="s">
        <v>717</v>
      </c>
      <c r="AF27" s="59" t="s">
        <v>717</v>
      </c>
      <c r="AG27" s="60" t="s">
        <v>717</v>
      </c>
      <c r="AH27" s="61" t="s">
        <v>717</v>
      </c>
      <c r="AI27" s="64">
        <v>2</v>
      </c>
      <c r="AJ27" s="66"/>
      <c r="AK27" s="22" t="s">
        <v>717</v>
      </c>
      <c r="AL27" s="23"/>
      <c r="AM27" s="23" t="s">
        <v>655</v>
      </c>
    </row>
    <row r="28" spans="1:41" s="3" customFormat="1" ht="14.5" x14ac:dyDescent="0.35">
      <c r="A28" s="24">
        <v>22</v>
      </c>
      <c r="B28" s="11" t="s">
        <v>5</v>
      </c>
      <c r="C28" s="11" t="s">
        <v>136</v>
      </c>
      <c r="D28" s="11">
        <v>119752</v>
      </c>
      <c r="E28" s="11">
        <v>48134</v>
      </c>
      <c r="F28" s="20" t="s">
        <v>559</v>
      </c>
      <c r="G28" s="20" t="s">
        <v>739</v>
      </c>
      <c r="H28" s="6">
        <v>28.35605</v>
      </c>
      <c r="I28" s="6">
        <v>70.290149999999997</v>
      </c>
      <c r="J28" s="12" t="s">
        <v>13</v>
      </c>
      <c r="K28" s="11" t="s">
        <v>91</v>
      </c>
      <c r="L28" s="11" t="s">
        <v>433</v>
      </c>
      <c r="M28" s="11" t="s">
        <v>548</v>
      </c>
      <c r="N28" s="39">
        <f t="shared" si="0"/>
        <v>3</v>
      </c>
      <c r="O28" s="41" t="s">
        <v>717</v>
      </c>
      <c r="P28" s="42" t="s">
        <v>717</v>
      </c>
      <c r="Q28" s="43" t="s">
        <v>717</v>
      </c>
      <c r="R28" s="44" t="s">
        <v>717</v>
      </c>
      <c r="S28" s="46" t="s">
        <v>717</v>
      </c>
      <c r="T28" s="46" t="s">
        <v>717</v>
      </c>
      <c r="U28" s="46" t="s">
        <v>717</v>
      </c>
      <c r="V28" s="46" t="s">
        <v>717</v>
      </c>
      <c r="W28" s="48" t="s">
        <v>717</v>
      </c>
      <c r="X28" s="49" t="s">
        <v>717</v>
      </c>
      <c r="Y28" s="50" t="s">
        <v>717</v>
      </c>
      <c r="Z28" s="51" t="s">
        <v>717</v>
      </c>
      <c r="AA28" s="53" t="s">
        <v>717</v>
      </c>
      <c r="AB28" s="54" t="s">
        <v>717</v>
      </c>
      <c r="AC28" s="55" t="s">
        <v>717</v>
      </c>
      <c r="AD28" s="56" t="s">
        <v>717</v>
      </c>
      <c r="AE28" s="58" t="s">
        <v>717</v>
      </c>
      <c r="AF28" s="59" t="s">
        <v>717</v>
      </c>
      <c r="AG28" s="60" t="s">
        <v>717</v>
      </c>
      <c r="AH28" s="61" t="s">
        <v>717</v>
      </c>
      <c r="AI28" s="64">
        <v>3</v>
      </c>
      <c r="AJ28" s="66"/>
      <c r="AK28" s="22" t="s">
        <v>717</v>
      </c>
      <c r="AL28" s="23"/>
      <c r="AM28" s="23" t="s">
        <v>667</v>
      </c>
    </row>
    <row r="29" spans="1:41" s="3" customFormat="1" ht="14.5" x14ac:dyDescent="0.35">
      <c r="A29" s="24">
        <v>23</v>
      </c>
      <c r="B29" s="11" t="s">
        <v>5</v>
      </c>
      <c r="C29" s="11" t="s">
        <v>448</v>
      </c>
      <c r="D29" s="11">
        <v>118742</v>
      </c>
      <c r="E29" s="11">
        <v>48136</v>
      </c>
      <c r="F29" s="20" t="s">
        <v>560</v>
      </c>
      <c r="G29" s="20" t="s">
        <v>738</v>
      </c>
      <c r="H29" s="6">
        <v>28.389559999999999</v>
      </c>
      <c r="I29" s="6">
        <v>70.343109999999996</v>
      </c>
      <c r="J29" s="12" t="s">
        <v>91</v>
      </c>
      <c r="K29" s="11" t="s">
        <v>91</v>
      </c>
      <c r="L29" s="11" t="s">
        <v>433</v>
      </c>
      <c r="M29" s="11" t="s">
        <v>449</v>
      </c>
      <c r="N29" s="39">
        <f t="shared" si="0"/>
        <v>3</v>
      </c>
      <c r="O29" s="41" t="s">
        <v>592</v>
      </c>
      <c r="P29" s="42">
        <v>0</v>
      </c>
      <c r="Q29" s="43">
        <v>3</v>
      </c>
      <c r="R29" s="44">
        <v>0</v>
      </c>
      <c r="S29" s="46" t="s">
        <v>717</v>
      </c>
      <c r="T29" s="46" t="s">
        <v>717</v>
      </c>
      <c r="U29" s="46" t="s">
        <v>717</v>
      </c>
      <c r="V29" s="46" t="s">
        <v>717</v>
      </c>
      <c r="W29" s="48" t="s">
        <v>717</v>
      </c>
      <c r="X29" s="49" t="s">
        <v>717</v>
      </c>
      <c r="Y29" s="50" t="s">
        <v>717</v>
      </c>
      <c r="Z29" s="51" t="s">
        <v>717</v>
      </c>
      <c r="AA29" s="53" t="s">
        <v>717</v>
      </c>
      <c r="AB29" s="54" t="s">
        <v>717</v>
      </c>
      <c r="AC29" s="55" t="s">
        <v>717</v>
      </c>
      <c r="AD29" s="56" t="s">
        <v>717</v>
      </c>
      <c r="AE29" s="58" t="s">
        <v>717</v>
      </c>
      <c r="AF29" s="59" t="s">
        <v>717</v>
      </c>
      <c r="AG29" s="60" t="s">
        <v>717</v>
      </c>
      <c r="AH29" s="61" t="s">
        <v>717</v>
      </c>
      <c r="AI29" s="64"/>
      <c r="AJ29" s="66"/>
      <c r="AK29" s="22">
        <v>3</v>
      </c>
      <c r="AL29" s="23"/>
      <c r="AM29" s="23"/>
      <c r="AN29" s="123">
        <f>N29-AK29</f>
        <v>0</v>
      </c>
    </row>
    <row r="30" spans="1:41" s="3" customFormat="1" ht="14.5" x14ac:dyDescent="0.35">
      <c r="A30" s="24">
        <v>24</v>
      </c>
      <c r="B30" s="11" t="s">
        <v>5</v>
      </c>
      <c r="C30" s="14" t="s">
        <v>328</v>
      </c>
      <c r="D30" s="11">
        <v>114724</v>
      </c>
      <c r="E30" s="11">
        <v>48137</v>
      </c>
      <c r="F30" s="20" t="s">
        <v>560</v>
      </c>
      <c r="G30" s="20" t="s">
        <v>738</v>
      </c>
      <c r="H30" s="6">
        <v>28.73856</v>
      </c>
      <c r="I30" s="6">
        <v>70.46293</v>
      </c>
      <c r="J30" s="12" t="s">
        <v>91</v>
      </c>
      <c r="K30" s="11" t="s">
        <v>91</v>
      </c>
      <c r="L30" s="11" t="s">
        <v>433</v>
      </c>
      <c r="M30" s="11" t="s">
        <v>329</v>
      </c>
      <c r="N30" s="39">
        <f t="shared" si="0"/>
        <v>4</v>
      </c>
      <c r="O30" s="41" t="s">
        <v>593</v>
      </c>
      <c r="P30" s="42">
        <v>0</v>
      </c>
      <c r="Q30" s="43">
        <v>4</v>
      </c>
      <c r="R30" s="44">
        <v>0</v>
      </c>
      <c r="S30" s="46" t="s">
        <v>717</v>
      </c>
      <c r="T30" s="46" t="s">
        <v>717</v>
      </c>
      <c r="U30" s="46" t="s">
        <v>717</v>
      </c>
      <c r="V30" s="46" t="s">
        <v>717</v>
      </c>
      <c r="W30" s="48" t="s">
        <v>717</v>
      </c>
      <c r="X30" s="49" t="s">
        <v>717</v>
      </c>
      <c r="Y30" s="50" t="s">
        <v>717</v>
      </c>
      <c r="Z30" s="51" t="s">
        <v>717</v>
      </c>
      <c r="AA30" s="53" t="s">
        <v>717</v>
      </c>
      <c r="AB30" s="54" t="s">
        <v>717</v>
      </c>
      <c r="AC30" s="55" t="s">
        <v>717</v>
      </c>
      <c r="AD30" s="56" t="s">
        <v>717</v>
      </c>
      <c r="AE30" s="58" t="s">
        <v>717</v>
      </c>
      <c r="AF30" s="59" t="s">
        <v>717</v>
      </c>
      <c r="AG30" s="60" t="s">
        <v>717</v>
      </c>
      <c r="AH30" s="61" t="s">
        <v>717</v>
      </c>
      <c r="AI30" s="64"/>
      <c r="AJ30" s="66"/>
      <c r="AK30" s="22">
        <v>4</v>
      </c>
      <c r="AL30" s="23"/>
      <c r="AM30" s="23"/>
      <c r="AN30" s="123">
        <f>N30-AK30</f>
        <v>0</v>
      </c>
    </row>
    <row r="31" spans="1:41" s="3" customFormat="1" ht="14.5" x14ac:dyDescent="0.35">
      <c r="A31" s="24">
        <v>25</v>
      </c>
      <c r="B31" s="11" t="s">
        <v>5</v>
      </c>
      <c r="C31" s="11" t="s">
        <v>125</v>
      </c>
      <c r="D31" s="11">
        <v>102377</v>
      </c>
      <c r="E31" s="11">
        <v>48138</v>
      </c>
      <c r="F31" s="20" t="s">
        <v>559</v>
      </c>
      <c r="G31" s="20" t="s">
        <v>740</v>
      </c>
      <c r="H31" s="6">
        <v>28.42248</v>
      </c>
      <c r="I31" s="6">
        <v>70.315510000000003</v>
      </c>
      <c r="J31" s="12" t="s">
        <v>13</v>
      </c>
      <c r="K31" s="11" t="s">
        <v>91</v>
      </c>
      <c r="L31" s="11" t="s">
        <v>433</v>
      </c>
      <c r="M31" s="11" t="s">
        <v>278</v>
      </c>
      <c r="N31" s="39">
        <f t="shared" si="0"/>
        <v>2</v>
      </c>
      <c r="O31" s="41" t="s">
        <v>717</v>
      </c>
      <c r="P31" s="42" t="s">
        <v>717</v>
      </c>
      <c r="Q31" s="43" t="s">
        <v>717</v>
      </c>
      <c r="R31" s="44" t="s">
        <v>717</v>
      </c>
      <c r="S31" s="46" t="s">
        <v>717</v>
      </c>
      <c r="T31" s="46" t="s">
        <v>717</v>
      </c>
      <c r="U31" s="46" t="s">
        <v>717</v>
      </c>
      <c r="V31" s="46" t="s">
        <v>717</v>
      </c>
      <c r="W31" s="48" t="s">
        <v>717</v>
      </c>
      <c r="X31" s="49" t="s">
        <v>717</v>
      </c>
      <c r="Y31" s="50" t="s">
        <v>717</v>
      </c>
      <c r="Z31" s="51" t="s">
        <v>717</v>
      </c>
      <c r="AA31" s="53" t="s">
        <v>717</v>
      </c>
      <c r="AB31" s="54" t="s">
        <v>717</v>
      </c>
      <c r="AC31" s="55" t="s">
        <v>717</v>
      </c>
      <c r="AD31" s="56" t="s">
        <v>717</v>
      </c>
      <c r="AE31" s="58" t="s">
        <v>717</v>
      </c>
      <c r="AF31" s="59" t="s">
        <v>717</v>
      </c>
      <c r="AG31" s="60" t="s">
        <v>717</v>
      </c>
      <c r="AH31" s="61" t="s">
        <v>717</v>
      </c>
      <c r="AI31" s="64">
        <v>2</v>
      </c>
      <c r="AJ31" s="66"/>
      <c r="AK31" s="22" t="s">
        <v>717</v>
      </c>
      <c r="AL31" s="23"/>
      <c r="AM31" s="23" t="s">
        <v>692</v>
      </c>
    </row>
    <row r="32" spans="1:41" s="3" customFormat="1" ht="14.5" x14ac:dyDescent="0.35">
      <c r="A32" s="24">
        <v>26</v>
      </c>
      <c r="B32" s="11" t="s">
        <v>5</v>
      </c>
      <c r="C32" s="11" t="s">
        <v>535</v>
      </c>
      <c r="D32" s="11">
        <v>119549</v>
      </c>
      <c r="E32" s="11">
        <v>48139</v>
      </c>
      <c r="F32" s="20" t="s">
        <v>560</v>
      </c>
      <c r="G32" s="20" t="s">
        <v>740</v>
      </c>
      <c r="H32" s="6">
        <v>28.425709999999999</v>
      </c>
      <c r="I32" s="6">
        <v>70.280280000000005</v>
      </c>
      <c r="J32" s="12" t="s">
        <v>13</v>
      </c>
      <c r="K32" s="11" t="s">
        <v>91</v>
      </c>
      <c r="L32" s="11" t="s">
        <v>433</v>
      </c>
      <c r="M32" s="11" t="s">
        <v>536</v>
      </c>
      <c r="N32" s="39">
        <f t="shared" si="0"/>
        <v>3</v>
      </c>
      <c r="O32" s="41" t="s">
        <v>717</v>
      </c>
      <c r="P32" s="42" t="s">
        <v>717</v>
      </c>
      <c r="Q32" s="43" t="s">
        <v>717</v>
      </c>
      <c r="R32" s="44" t="s">
        <v>717</v>
      </c>
      <c r="S32" s="46" t="s">
        <v>582</v>
      </c>
      <c r="T32" s="46">
        <v>0</v>
      </c>
      <c r="U32" s="46">
        <v>3</v>
      </c>
      <c r="V32" s="46">
        <v>0</v>
      </c>
      <c r="W32" s="48" t="s">
        <v>717</v>
      </c>
      <c r="X32" s="49" t="s">
        <v>717</v>
      </c>
      <c r="Y32" s="50" t="s">
        <v>717</v>
      </c>
      <c r="Z32" s="51" t="s">
        <v>717</v>
      </c>
      <c r="AA32" s="53" t="s">
        <v>717</v>
      </c>
      <c r="AB32" s="54" t="s">
        <v>717</v>
      </c>
      <c r="AC32" s="55" t="s">
        <v>717</v>
      </c>
      <c r="AD32" s="56" t="s">
        <v>717</v>
      </c>
      <c r="AE32" s="58" t="s">
        <v>717</v>
      </c>
      <c r="AF32" s="59" t="s">
        <v>717</v>
      </c>
      <c r="AG32" s="60" t="s">
        <v>717</v>
      </c>
      <c r="AH32" s="61" t="s">
        <v>717</v>
      </c>
      <c r="AI32" s="64"/>
      <c r="AJ32" s="66"/>
      <c r="AK32" s="22" t="s">
        <v>717</v>
      </c>
      <c r="AL32" s="23"/>
      <c r="AM32" s="23"/>
    </row>
    <row r="33" spans="1:41" s="3" customFormat="1" ht="14.5" x14ac:dyDescent="0.35">
      <c r="A33" s="24">
        <v>27</v>
      </c>
      <c r="B33" s="11" t="s">
        <v>5</v>
      </c>
      <c r="C33" s="11" t="s">
        <v>123</v>
      </c>
      <c r="D33" s="11">
        <v>102385</v>
      </c>
      <c r="E33" s="11">
        <v>48142</v>
      </c>
      <c r="F33" s="20" t="s">
        <v>560</v>
      </c>
      <c r="G33" s="20" t="s">
        <v>740</v>
      </c>
      <c r="H33" s="6">
        <v>28.422370000000001</v>
      </c>
      <c r="I33" s="6">
        <v>70.31711</v>
      </c>
      <c r="J33" s="12" t="s">
        <v>13</v>
      </c>
      <c r="K33" s="11" t="s">
        <v>91</v>
      </c>
      <c r="L33" s="11" t="s">
        <v>433</v>
      </c>
      <c r="M33" s="11" t="s">
        <v>275</v>
      </c>
      <c r="N33" s="39">
        <f t="shared" si="0"/>
        <v>5</v>
      </c>
      <c r="O33" s="41" t="s">
        <v>594</v>
      </c>
      <c r="P33" s="42">
        <v>0</v>
      </c>
      <c r="Q33" s="43">
        <v>5</v>
      </c>
      <c r="R33" s="44">
        <v>0</v>
      </c>
      <c r="S33" s="46" t="s">
        <v>717</v>
      </c>
      <c r="T33" s="46" t="s">
        <v>717</v>
      </c>
      <c r="U33" s="46" t="s">
        <v>717</v>
      </c>
      <c r="V33" s="46" t="s">
        <v>717</v>
      </c>
      <c r="W33" s="48" t="s">
        <v>717</v>
      </c>
      <c r="X33" s="49" t="s">
        <v>717</v>
      </c>
      <c r="Y33" s="50" t="s">
        <v>717</v>
      </c>
      <c r="Z33" s="51" t="s">
        <v>717</v>
      </c>
      <c r="AA33" s="53" t="s">
        <v>717</v>
      </c>
      <c r="AB33" s="54" t="s">
        <v>717</v>
      </c>
      <c r="AC33" s="55" t="s">
        <v>717</v>
      </c>
      <c r="AD33" s="56" t="s">
        <v>717</v>
      </c>
      <c r="AE33" s="58" t="s">
        <v>717</v>
      </c>
      <c r="AF33" s="59" t="s">
        <v>717</v>
      </c>
      <c r="AG33" s="60" t="s">
        <v>717</v>
      </c>
      <c r="AH33" s="61" t="s">
        <v>717</v>
      </c>
      <c r="AI33" s="64"/>
      <c r="AJ33" s="66"/>
      <c r="AK33" s="22">
        <v>5</v>
      </c>
      <c r="AL33" s="23"/>
      <c r="AM33" s="23"/>
      <c r="AN33" s="123">
        <f>N33-AK33</f>
        <v>0</v>
      </c>
    </row>
    <row r="34" spans="1:41" s="3" customFormat="1" ht="14.5" x14ac:dyDescent="0.35">
      <c r="A34" s="24">
        <v>28</v>
      </c>
      <c r="B34" s="11" t="s">
        <v>5</v>
      </c>
      <c r="C34" s="11" t="s">
        <v>53</v>
      </c>
      <c r="D34" s="11">
        <v>114780</v>
      </c>
      <c r="E34" s="11">
        <v>48143</v>
      </c>
      <c r="F34" s="20" t="s">
        <v>560</v>
      </c>
      <c r="G34" s="20" t="s">
        <v>738</v>
      </c>
      <c r="H34" s="6">
        <v>28.206160000000001</v>
      </c>
      <c r="I34" s="6">
        <v>69.866950000000003</v>
      </c>
      <c r="J34" s="12" t="s">
        <v>91</v>
      </c>
      <c r="K34" s="11" t="s">
        <v>6</v>
      </c>
      <c r="L34" s="11" t="s">
        <v>433</v>
      </c>
      <c r="M34" s="11" t="s">
        <v>270</v>
      </c>
      <c r="N34" s="39">
        <f t="shared" si="0"/>
        <v>4</v>
      </c>
      <c r="O34" s="41" t="s">
        <v>593</v>
      </c>
      <c r="P34" s="42">
        <v>0</v>
      </c>
      <c r="Q34" s="43">
        <v>4</v>
      </c>
      <c r="R34" s="44">
        <v>0</v>
      </c>
      <c r="S34" s="46" t="s">
        <v>717</v>
      </c>
      <c r="T34" s="46" t="s">
        <v>717</v>
      </c>
      <c r="U34" s="46" t="s">
        <v>717</v>
      </c>
      <c r="V34" s="46" t="s">
        <v>717</v>
      </c>
      <c r="W34" s="48" t="s">
        <v>717</v>
      </c>
      <c r="X34" s="49" t="s">
        <v>717</v>
      </c>
      <c r="Y34" s="50" t="s">
        <v>717</v>
      </c>
      <c r="Z34" s="51" t="s">
        <v>717</v>
      </c>
      <c r="AA34" s="53" t="s">
        <v>717</v>
      </c>
      <c r="AB34" s="54" t="s">
        <v>717</v>
      </c>
      <c r="AC34" s="55" t="s">
        <v>717</v>
      </c>
      <c r="AD34" s="56" t="s">
        <v>717</v>
      </c>
      <c r="AE34" s="58" t="s">
        <v>717</v>
      </c>
      <c r="AF34" s="59" t="s">
        <v>717</v>
      </c>
      <c r="AG34" s="60" t="s">
        <v>717</v>
      </c>
      <c r="AH34" s="61" t="s">
        <v>717</v>
      </c>
      <c r="AI34" s="64"/>
      <c r="AJ34" s="66"/>
      <c r="AK34" s="22">
        <v>4</v>
      </c>
      <c r="AL34" s="23"/>
      <c r="AM34" s="23"/>
      <c r="AN34" s="123">
        <f>N34-AK34</f>
        <v>0</v>
      </c>
    </row>
    <row r="35" spans="1:41" s="3" customFormat="1" ht="14.5" x14ac:dyDescent="0.35">
      <c r="A35" s="24">
        <v>29</v>
      </c>
      <c r="B35" s="11" t="s">
        <v>5</v>
      </c>
      <c r="C35" s="11" t="s">
        <v>516</v>
      </c>
      <c r="D35" s="11">
        <v>117086</v>
      </c>
      <c r="E35" s="11">
        <v>48144</v>
      </c>
      <c r="F35" s="20" t="s">
        <v>560</v>
      </c>
      <c r="G35" s="20" t="s">
        <v>738</v>
      </c>
      <c r="H35" s="6">
        <v>28.433070000000001</v>
      </c>
      <c r="I35" s="6">
        <v>70.212410000000006</v>
      </c>
      <c r="J35" s="12" t="s">
        <v>102</v>
      </c>
      <c r="K35" s="11" t="s">
        <v>91</v>
      </c>
      <c r="L35" s="11" t="s">
        <v>433</v>
      </c>
      <c r="M35" s="11" t="s">
        <v>272</v>
      </c>
      <c r="N35" s="39">
        <f t="shared" si="0"/>
        <v>4</v>
      </c>
      <c r="O35" s="41" t="s">
        <v>592</v>
      </c>
      <c r="P35" s="42" t="s">
        <v>717</v>
      </c>
      <c r="Q35" s="43">
        <v>3</v>
      </c>
      <c r="R35" s="44" t="s">
        <v>717</v>
      </c>
      <c r="S35" s="46" t="s">
        <v>581</v>
      </c>
      <c r="T35" s="46" t="s">
        <v>717</v>
      </c>
      <c r="U35" s="46">
        <v>1</v>
      </c>
      <c r="V35" s="46" t="s">
        <v>717</v>
      </c>
      <c r="W35" s="48" t="s">
        <v>717</v>
      </c>
      <c r="X35" s="49" t="s">
        <v>717</v>
      </c>
      <c r="Y35" s="50" t="s">
        <v>717</v>
      </c>
      <c r="Z35" s="51" t="s">
        <v>717</v>
      </c>
      <c r="AA35" s="53" t="s">
        <v>717</v>
      </c>
      <c r="AB35" s="54" t="s">
        <v>717</v>
      </c>
      <c r="AC35" s="55" t="s">
        <v>717</v>
      </c>
      <c r="AD35" s="56" t="s">
        <v>717</v>
      </c>
      <c r="AE35" s="58" t="s">
        <v>717</v>
      </c>
      <c r="AF35" s="59" t="s">
        <v>717</v>
      </c>
      <c r="AG35" s="60" t="s">
        <v>717</v>
      </c>
      <c r="AH35" s="61" t="s">
        <v>717</v>
      </c>
      <c r="AI35" s="64"/>
      <c r="AJ35" s="66"/>
      <c r="AK35" s="36">
        <v>3</v>
      </c>
      <c r="AL35" s="23"/>
      <c r="AM35" s="23"/>
      <c r="AN35" s="123">
        <f>N35-AK35</f>
        <v>1</v>
      </c>
      <c r="AO35" s="31">
        <f>SUM(P35:R35)-AK35</f>
        <v>0</v>
      </c>
    </row>
    <row r="36" spans="1:41" s="3" customFormat="1" ht="14.5" x14ac:dyDescent="0.35">
      <c r="A36" s="24">
        <v>30</v>
      </c>
      <c r="B36" s="11" t="s">
        <v>5</v>
      </c>
      <c r="C36" s="11" t="s">
        <v>104</v>
      </c>
      <c r="D36" s="11">
        <v>102420</v>
      </c>
      <c r="E36" s="11">
        <v>48145</v>
      </c>
      <c r="F36" s="20" t="s">
        <v>560</v>
      </c>
      <c r="G36" s="20" t="s">
        <v>738</v>
      </c>
      <c r="H36" s="6">
        <v>28.282869999999999</v>
      </c>
      <c r="I36" s="6">
        <v>70.044929999999994</v>
      </c>
      <c r="J36" s="12" t="s">
        <v>13</v>
      </c>
      <c r="K36" s="11" t="s">
        <v>91</v>
      </c>
      <c r="L36" s="11" t="s">
        <v>433</v>
      </c>
      <c r="M36" s="11" t="s">
        <v>252</v>
      </c>
      <c r="N36" s="39">
        <f t="shared" si="0"/>
        <v>3</v>
      </c>
      <c r="O36" s="41" t="s">
        <v>597</v>
      </c>
      <c r="P36" s="42">
        <v>0</v>
      </c>
      <c r="Q36" s="43">
        <v>3</v>
      </c>
      <c r="R36" s="44">
        <v>0</v>
      </c>
      <c r="S36" s="46" t="s">
        <v>717</v>
      </c>
      <c r="T36" s="46" t="s">
        <v>717</v>
      </c>
      <c r="U36" s="46" t="s">
        <v>717</v>
      </c>
      <c r="V36" s="46" t="s">
        <v>717</v>
      </c>
      <c r="W36" s="48" t="s">
        <v>717</v>
      </c>
      <c r="X36" s="49" t="s">
        <v>717</v>
      </c>
      <c r="Y36" s="50" t="s">
        <v>717</v>
      </c>
      <c r="Z36" s="51" t="s">
        <v>717</v>
      </c>
      <c r="AA36" s="53" t="s">
        <v>717</v>
      </c>
      <c r="AB36" s="54" t="s">
        <v>717</v>
      </c>
      <c r="AC36" s="55" t="s">
        <v>717</v>
      </c>
      <c r="AD36" s="56" t="s">
        <v>717</v>
      </c>
      <c r="AE36" s="58" t="s">
        <v>717</v>
      </c>
      <c r="AF36" s="59" t="s">
        <v>717</v>
      </c>
      <c r="AG36" s="60" t="s">
        <v>717</v>
      </c>
      <c r="AH36" s="61" t="s">
        <v>717</v>
      </c>
      <c r="AI36" s="64"/>
      <c r="AJ36" s="66"/>
      <c r="AK36" s="22" t="s">
        <v>717</v>
      </c>
      <c r="AL36" s="23"/>
      <c r="AM36" s="23"/>
    </row>
    <row r="37" spans="1:41" s="3" customFormat="1" ht="14.5" x14ac:dyDescent="0.35">
      <c r="A37" s="24">
        <v>31</v>
      </c>
      <c r="B37" s="11" t="s">
        <v>5</v>
      </c>
      <c r="C37" s="11" t="s">
        <v>120</v>
      </c>
      <c r="D37" s="11">
        <v>118338</v>
      </c>
      <c r="E37" s="11">
        <v>48146</v>
      </c>
      <c r="F37" s="20" t="s">
        <v>560</v>
      </c>
      <c r="G37" s="20" t="s">
        <v>738</v>
      </c>
      <c r="H37" s="6">
        <v>28.43741</v>
      </c>
      <c r="I37" s="6">
        <v>70.215549999999993</v>
      </c>
      <c r="J37" s="12" t="s">
        <v>91</v>
      </c>
      <c r="K37" s="11" t="s">
        <v>91</v>
      </c>
      <c r="L37" s="11" t="s">
        <v>433</v>
      </c>
      <c r="M37" s="11" t="s">
        <v>440</v>
      </c>
      <c r="N37" s="39">
        <f t="shared" si="0"/>
        <v>5</v>
      </c>
      <c r="O37" s="41" t="s">
        <v>593</v>
      </c>
      <c r="P37" s="42" t="s">
        <v>717</v>
      </c>
      <c r="Q37" s="43">
        <v>4</v>
      </c>
      <c r="R37" s="44" t="s">
        <v>717</v>
      </c>
      <c r="S37" s="46" t="s">
        <v>581</v>
      </c>
      <c r="T37" s="46" t="s">
        <v>717</v>
      </c>
      <c r="U37" s="46">
        <v>1</v>
      </c>
      <c r="V37" s="46" t="s">
        <v>717</v>
      </c>
      <c r="W37" s="48" t="s">
        <v>717</v>
      </c>
      <c r="X37" s="49" t="s">
        <v>717</v>
      </c>
      <c r="Y37" s="50" t="s">
        <v>717</v>
      </c>
      <c r="Z37" s="51" t="s">
        <v>717</v>
      </c>
      <c r="AA37" s="53" t="s">
        <v>717</v>
      </c>
      <c r="AB37" s="54" t="s">
        <v>717</v>
      </c>
      <c r="AC37" s="55" t="s">
        <v>717</v>
      </c>
      <c r="AD37" s="56" t="s">
        <v>717</v>
      </c>
      <c r="AE37" s="58" t="s">
        <v>717</v>
      </c>
      <c r="AF37" s="59" t="s">
        <v>717</v>
      </c>
      <c r="AG37" s="60" t="s">
        <v>717</v>
      </c>
      <c r="AH37" s="61" t="s">
        <v>717</v>
      </c>
      <c r="AI37" s="64"/>
      <c r="AJ37" s="66"/>
      <c r="AK37" s="36">
        <v>4</v>
      </c>
      <c r="AL37" s="23"/>
      <c r="AM37" s="23"/>
      <c r="AN37" s="123">
        <f>N37-AK37</f>
        <v>1</v>
      </c>
      <c r="AO37" s="31">
        <f>SUM(P37:R37)-AK37</f>
        <v>0</v>
      </c>
    </row>
    <row r="38" spans="1:41" s="3" customFormat="1" ht="14.5" x14ac:dyDescent="0.35">
      <c r="A38" s="24">
        <v>32</v>
      </c>
      <c r="B38" s="11" t="s">
        <v>5</v>
      </c>
      <c r="C38" s="11" t="s">
        <v>504</v>
      </c>
      <c r="D38" s="11">
        <v>112123</v>
      </c>
      <c r="E38" s="11">
        <v>48147</v>
      </c>
      <c r="F38" s="20" t="s">
        <v>560</v>
      </c>
      <c r="G38" s="20" t="s">
        <v>738</v>
      </c>
      <c r="H38" s="6">
        <v>28.30199</v>
      </c>
      <c r="I38" s="6">
        <v>70.121120000000005</v>
      </c>
      <c r="J38" s="12" t="s">
        <v>91</v>
      </c>
      <c r="K38" s="11" t="s">
        <v>6</v>
      </c>
      <c r="L38" s="11" t="s">
        <v>433</v>
      </c>
      <c r="M38" s="11" t="s">
        <v>243</v>
      </c>
      <c r="N38" s="39">
        <f t="shared" si="0"/>
        <v>3</v>
      </c>
      <c r="O38" s="41" t="s">
        <v>717</v>
      </c>
      <c r="P38" s="42" t="s">
        <v>717</v>
      </c>
      <c r="Q38" s="43" t="s">
        <v>717</v>
      </c>
      <c r="R38" s="44" t="s">
        <v>717</v>
      </c>
      <c r="S38" s="46" t="s">
        <v>582</v>
      </c>
      <c r="T38" s="46">
        <v>1</v>
      </c>
      <c r="U38" s="46">
        <v>2</v>
      </c>
      <c r="V38" s="46">
        <v>0</v>
      </c>
      <c r="W38" s="48" t="s">
        <v>717</v>
      </c>
      <c r="X38" s="49" t="s">
        <v>717</v>
      </c>
      <c r="Y38" s="50" t="s">
        <v>717</v>
      </c>
      <c r="Z38" s="51" t="s">
        <v>717</v>
      </c>
      <c r="AA38" s="53" t="s">
        <v>717</v>
      </c>
      <c r="AB38" s="54" t="s">
        <v>717</v>
      </c>
      <c r="AC38" s="55" t="s">
        <v>717</v>
      </c>
      <c r="AD38" s="56" t="s">
        <v>717</v>
      </c>
      <c r="AE38" s="58" t="s">
        <v>717</v>
      </c>
      <c r="AF38" s="59" t="s">
        <v>717</v>
      </c>
      <c r="AG38" s="60" t="s">
        <v>717</v>
      </c>
      <c r="AH38" s="61" t="s">
        <v>717</v>
      </c>
      <c r="AI38" s="64"/>
      <c r="AJ38" s="66"/>
      <c r="AK38" s="22" t="s">
        <v>717</v>
      </c>
      <c r="AL38" s="23"/>
      <c r="AM38" s="23"/>
    </row>
    <row r="39" spans="1:41" s="3" customFormat="1" ht="14.5" x14ac:dyDescent="0.35">
      <c r="A39" s="24">
        <v>33</v>
      </c>
      <c r="B39" s="11" t="s">
        <v>5</v>
      </c>
      <c r="C39" s="11" t="s">
        <v>96</v>
      </c>
      <c r="D39" s="11">
        <v>101755</v>
      </c>
      <c r="E39" s="11">
        <v>48148</v>
      </c>
      <c r="F39" s="20" t="s">
        <v>560</v>
      </c>
      <c r="G39" s="20" t="s">
        <v>738</v>
      </c>
      <c r="H39" s="6">
        <v>28.342359999999999</v>
      </c>
      <c r="I39" s="6">
        <v>70.135120000000001</v>
      </c>
      <c r="J39" s="12" t="s">
        <v>13</v>
      </c>
      <c r="K39" s="11" t="s">
        <v>91</v>
      </c>
      <c r="L39" s="11" t="s">
        <v>433</v>
      </c>
      <c r="M39" s="11" t="s">
        <v>245</v>
      </c>
      <c r="N39" s="39">
        <f t="shared" si="0"/>
        <v>4</v>
      </c>
      <c r="O39" s="41" t="s">
        <v>717</v>
      </c>
      <c r="P39" s="42" t="s">
        <v>717</v>
      </c>
      <c r="Q39" s="43" t="s">
        <v>717</v>
      </c>
      <c r="R39" s="44" t="s">
        <v>717</v>
      </c>
      <c r="S39" s="46" t="s">
        <v>584</v>
      </c>
      <c r="T39" s="46">
        <v>1</v>
      </c>
      <c r="U39" s="46">
        <v>3</v>
      </c>
      <c r="V39" s="46">
        <v>0</v>
      </c>
      <c r="W39" s="48" t="s">
        <v>717</v>
      </c>
      <c r="X39" s="49" t="s">
        <v>717</v>
      </c>
      <c r="Y39" s="50" t="s">
        <v>717</v>
      </c>
      <c r="Z39" s="51" t="s">
        <v>717</v>
      </c>
      <c r="AA39" s="53" t="s">
        <v>717</v>
      </c>
      <c r="AB39" s="54" t="s">
        <v>717</v>
      </c>
      <c r="AC39" s="55" t="s">
        <v>717</v>
      </c>
      <c r="AD39" s="56" t="s">
        <v>717</v>
      </c>
      <c r="AE39" s="58" t="s">
        <v>717</v>
      </c>
      <c r="AF39" s="59" t="s">
        <v>717</v>
      </c>
      <c r="AG39" s="60" t="s">
        <v>717</v>
      </c>
      <c r="AH39" s="61" t="s">
        <v>717</v>
      </c>
      <c r="AI39" s="64"/>
      <c r="AJ39" s="66"/>
      <c r="AK39" s="22" t="s">
        <v>717</v>
      </c>
      <c r="AL39" s="23"/>
      <c r="AM39" s="23"/>
    </row>
    <row r="40" spans="1:41" s="3" customFormat="1" ht="14.5" x14ac:dyDescent="0.35">
      <c r="A40" s="24">
        <v>34</v>
      </c>
      <c r="B40" s="11" t="s">
        <v>5</v>
      </c>
      <c r="C40" s="11" t="s">
        <v>507</v>
      </c>
      <c r="D40" s="11">
        <v>114019</v>
      </c>
      <c r="E40" s="11">
        <v>48149</v>
      </c>
      <c r="F40" s="20" t="s">
        <v>560</v>
      </c>
      <c r="G40" s="20" t="s">
        <v>738</v>
      </c>
      <c r="H40" s="6">
        <v>28.209109999999999</v>
      </c>
      <c r="I40" s="6">
        <v>69.87706</v>
      </c>
      <c r="J40" s="12" t="s">
        <v>102</v>
      </c>
      <c r="K40" s="11" t="s">
        <v>91</v>
      </c>
      <c r="L40" s="11" t="s">
        <v>433</v>
      </c>
      <c r="M40" s="11" t="s">
        <v>269</v>
      </c>
      <c r="N40" s="39">
        <f t="shared" si="0"/>
        <v>4</v>
      </c>
      <c r="O40" s="41" t="s">
        <v>593</v>
      </c>
      <c r="P40" s="42">
        <v>0</v>
      </c>
      <c r="Q40" s="43">
        <v>4</v>
      </c>
      <c r="R40" s="44">
        <v>0</v>
      </c>
      <c r="S40" s="46" t="s">
        <v>717</v>
      </c>
      <c r="T40" s="46" t="s">
        <v>717</v>
      </c>
      <c r="U40" s="46" t="s">
        <v>717</v>
      </c>
      <c r="V40" s="46" t="s">
        <v>717</v>
      </c>
      <c r="W40" s="48" t="s">
        <v>717</v>
      </c>
      <c r="X40" s="49" t="s">
        <v>717</v>
      </c>
      <c r="Y40" s="50" t="s">
        <v>717</v>
      </c>
      <c r="Z40" s="51" t="s">
        <v>717</v>
      </c>
      <c r="AA40" s="53" t="s">
        <v>717</v>
      </c>
      <c r="AB40" s="54" t="s">
        <v>717</v>
      </c>
      <c r="AC40" s="55" t="s">
        <v>717</v>
      </c>
      <c r="AD40" s="56" t="s">
        <v>717</v>
      </c>
      <c r="AE40" s="58" t="s">
        <v>717</v>
      </c>
      <c r="AF40" s="59" t="s">
        <v>717</v>
      </c>
      <c r="AG40" s="60" t="s">
        <v>717</v>
      </c>
      <c r="AH40" s="61" t="s">
        <v>717</v>
      </c>
      <c r="AI40" s="64"/>
      <c r="AJ40" s="66"/>
      <c r="AK40" s="22">
        <v>4</v>
      </c>
      <c r="AL40" s="23"/>
      <c r="AM40" s="23"/>
      <c r="AN40" s="123">
        <f>N40-AK40</f>
        <v>0</v>
      </c>
    </row>
    <row r="41" spans="1:41" s="3" customFormat="1" ht="14.5" x14ac:dyDescent="0.35">
      <c r="A41" s="24">
        <v>35</v>
      </c>
      <c r="B41" s="11" t="s">
        <v>5</v>
      </c>
      <c r="C41" s="11" t="s">
        <v>101</v>
      </c>
      <c r="D41" s="11">
        <v>118866</v>
      </c>
      <c r="E41" s="11">
        <v>48151</v>
      </c>
      <c r="F41" s="20" t="s">
        <v>560</v>
      </c>
      <c r="G41" s="20" t="s">
        <v>740</v>
      </c>
      <c r="H41" s="6">
        <v>28.301110000000001</v>
      </c>
      <c r="I41" s="6">
        <v>70.104609999999994</v>
      </c>
      <c r="J41" s="12" t="s">
        <v>102</v>
      </c>
      <c r="K41" s="11" t="s">
        <v>91</v>
      </c>
      <c r="L41" s="11" t="s">
        <v>433</v>
      </c>
      <c r="M41" s="11" t="s">
        <v>450</v>
      </c>
      <c r="N41" s="39">
        <f t="shared" si="0"/>
        <v>3</v>
      </c>
      <c r="O41" s="41" t="s">
        <v>597</v>
      </c>
      <c r="P41" s="42">
        <v>0</v>
      </c>
      <c r="Q41" s="43">
        <v>3</v>
      </c>
      <c r="R41" s="44">
        <v>0</v>
      </c>
      <c r="S41" s="46" t="s">
        <v>717</v>
      </c>
      <c r="T41" s="46" t="s">
        <v>717</v>
      </c>
      <c r="U41" s="46" t="s">
        <v>717</v>
      </c>
      <c r="V41" s="46" t="s">
        <v>717</v>
      </c>
      <c r="W41" s="48" t="s">
        <v>717</v>
      </c>
      <c r="X41" s="49" t="s">
        <v>717</v>
      </c>
      <c r="Y41" s="50" t="s">
        <v>717</v>
      </c>
      <c r="Z41" s="51" t="s">
        <v>717</v>
      </c>
      <c r="AA41" s="53" t="s">
        <v>717</v>
      </c>
      <c r="AB41" s="54" t="s">
        <v>717</v>
      </c>
      <c r="AC41" s="55" t="s">
        <v>717</v>
      </c>
      <c r="AD41" s="56" t="s">
        <v>717</v>
      </c>
      <c r="AE41" s="58" t="s">
        <v>717</v>
      </c>
      <c r="AF41" s="59" t="s">
        <v>717</v>
      </c>
      <c r="AG41" s="60" t="s">
        <v>717</v>
      </c>
      <c r="AH41" s="61" t="s">
        <v>717</v>
      </c>
      <c r="AI41" s="64"/>
      <c r="AJ41" s="66"/>
      <c r="AK41" s="36">
        <v>2</v>
      </c>
      <c r="AL41" s="23"/>
      <c r="AM41" s="23"/>
      <c r="AN41" s="123">
        <f>N41-AK41</f>
        <v>1</v>
      </c>
      <c r="AO41" s="31">
        <f>SUM(P41:R41)-AK41</f>
        <v>1</v>
      </c>
    </row>
    <row r="42" spans="1:41" s="3" customFormat="1" ht="14.5" x14ac:dyDescent="0.35">
      <c r="A42" s="24">
        <v>36</v>
      </c>
      <c r="B42" s="11" t="s">
        <v>5</v>
      </c>
      <c r="C42" s="11" t="s">
        <v>119</v>
      </c>
      <c r="D42" s="11">
        <v>102394</v>
      </c>
      <c r="E42" s="11">
        <v>48153</v>
      </c>
      <c r="F42" s="20" t="s">
        <v>559</v>
      </c>
      <c r="G42" s="20" t="s">
        <v>739</v>
      </c>
      <c r="H42" s="6">
        <v>28.386980000000001</v>
      </c>
      <c r="I42" s="6">
        <v>70.180019999999999</v>
      </c>
      <c r="J42" s="12" t="s">
        <v>13</v>
      </c>
      <c r="K42" s="11" t="s">
        <v>91</v>
      </c>
      <c r="L42" s="11" t="s">
        <v>433</v>
      </c>
      <c r="M42" s="11" t="s">
        <v>271</v>
      </c>
      <c r="N42" s="39">
        <f t="shared" si="0"/>
        <v>4</v>
      </c>
      <c r="O42" s="41" t="s">
        <v>717</v>
      </c>
      <c r="P42" s="42" t="s">
        <v>717</v>
      </c>
      <c r="Q42" s="43" t="s">
        <v>717</v>
      </c>
      <c r="R42" s="44" t="s">
        <v>717</v>
      </c>
      <c r="S42" s="46" t="s">
        <v>717</v>
      </c>
      <c r="T42" s="46" t="s">
        <v>717</v>
      </c>
      <c r="U42" s="46" t="s">
        <v>717</v>
      </c>
      <c r="V42" s="46" t="s">
        <v>717</v>
      </c>
      <c r="W42" s="48" t="s">
        <v>717</v>
      </c>
      <c r="X42" s="49" t="s">
        <v>717</v>
      </c>
      <c r="Y42" s="50" t="s">
        <v>717</v>
      </c>
      <c r="Z42" s="51" t="s">
        <v>717</v>
      </c>
      <c r="AA42" s="53" t="s">
        <v>717</v>
      </c>
      <c r="AB42" s="54" t="s">
        <v>717</v>
      </c>
      <c r="AC42" s="55" t="s">
        <v>717</v>
      </c>
      <c r="AD42" s="56" t="s">
        <v>717</v>
      </c>
      <c r="AE42" s="58" t="s">
        <v>717</v>
      </c>
      <c r="AF42" s="59" t="s">
        <v>717</v>
      </c>
      <c r="AG42" s="60" t="s">
        <v>717</v>
      </c>
      <c r="AH42" s="61" t="s">
        <v>717</v>
      </c>
      <c r="AI42" s="64">
        <v>4</v>
      </c>
      <c r="AJ42" s="66"/>
      <c r="AK42" s="22" t="s">
        <v>717</v>
      </c>
      <c r="AL42" s="23"/>
      <c r="AM42" s="23" t="s">
        <v>705</v>
      </c>
    </row>
    <row r="43" spans="1:41" s="3" customFormat="1" ht="14.5" x14ac:dyDescent="0.35">
      <c r="A43" s="24">
        <v>37</v>
      </c>
      <c r="B43" s="11" t="s">
        <v>5</v>
      </c>
      <c r="C43" s="11" t="s">
        <v>92</v>
      </c>
      <c r="D43" s="11">
        <v>102395</v>
      </c>
      <c r="E43" s="11">
        <v>48154</v>
      </c>
      <c r="F43" s="20" t="s">
        <v>559</v>
      </c>
      <c r="G43" s="20" t="s">
        <v>739</v>
      </c>
      <c r="H43" s="6">
        <v>28.408149999999999</v>
      </c>
      <c r="I43" s="6">
        <v>69.938950000000006</v>
      </c>
      <c r="J43" s="12" t="s">
        <v>13</v>
      </c>
      <c r="K43" s="11" t="s">
        <v>91</v>
      </c>
      <c r="L43" s="11" t="s">
        <v>433</v>
      </c>
      <c r="M43" s="11" t="s">
        <v>239</v>
      </c>
      <c r="N43" s="39">
        <f t="shared" si="0"/>
        <v>3</v>
      </c>
      <c r="O43" s="41" t="s">
        <v>717</v>
      </c>
      <c r="P43" s="42" t="s">
        <v>717</v>
      </c>
      <c r="Q43" s="43" t="s">
        <v>717</v>
      </c>
      <c r="R43" s="44" t="s">
        <v>717</v>
      </c>
      <c r="S43" s="46" t="s">
        <v>717</v>
      </c>
      <c r="T43" s="46" t="s">
        <v>717</v>
      </c>
      <c r="U43" s="46" t="s">
        <v>717</v>
      </c>
      <c r="V43" s="46" t="s">
        <v>717</v>
      </c>
      <c r="W43" s="48" t="s">
        <v>717</v>
      </c>
      <c r="X43" s="49" t="s">
        <v>717</v>
      </c>
      <c r="Y43" s="50" t="s">
        <v>717</v>
      </c>
      <c r="Z43" s="51" t="s">
        <v>717</v>
      </c>
      <c r="AA43" s="53" t="s">
        <v>717</v>
      </c>
      <c r="AB43" s="54" t="s">
        <v>717</v>
      </c>
      <c r="AC43" s="55" t="s">
        <v>717</v>
      </c>
      <c r="AD43" s="56" t="s">
        <v>717</v>
      </c>
      <c r="AE43" s="58" t="s">
        <v>717</v>
      </c>
      <c r="AF43" s="59" t="s">
        <v>717</v>
      </c>
      <c r="AG43" s="60" t="s">
        <v>717</v>
      </c>
      <c r="AH43" s="61" t="s">
        <v>717</v>
      </c>
      <c r="AI43" s="64">
        <v>3</v>
      </c>
      <c r="AJ43" s="66"/>
      <c r="AK43" s="22" t="s">
        <v>717</v>
      </c>
      <c r="AL43" s="23"/>
      <c r="AM43" s="23" t="s">
        <v>696</v>
      </c>
    </row>
    <row r="44" spans="1:41" s="3" customFormat="1" ht="14.5" x14ac:dyDescent="0.35">
      <c r="A44" s="24">
        <v>38</v>
      </c>
      <c r="B44" s="11" t="s">
        <v>5</v>
      </c>
      <c r="C44" s="11" t="s">
        <v>117</v>
      </c>
      <c r="D44" s="11">
        <v>102402</v>
      </c>
      <c r="E44" s="11">
        <v>48157</v>
      </c>
      <c r="F44" s="20" t="s">
        <v>560</v>
      </c>
      <c r="G44" s="20" t="s">
        <v>739</v>
      </c>
      <c r="H44" s="6">
        <v>28.240079999999999</v>
      </c>
      <c r="I44" s="6">
        <v>69.946659999999994</v>
      </c>
      <c r="J44" s="12" t="s">
        <v>13</v>
      </c>
      <c r="K44" s="11" t="s">
        <v>6</v>
      </c>
      <c r="L44" s="11" t="s">
        <v>433</v>
      </c>
      <c r="M44" s="11" t="s">
        <v>266</v>
      </c>
      <c r="N44" s="39">
        <f t="shared" si="0"/>
        <v>3</v>
      </c>
      <c r="O44" s="41" t="s">
        <v>717</v>
      </c>
      <c r="P44" s="42" t="s">
        <v>717</v>
      </c>
      <c r="Q44" s="43" t="s">
        <v>717</v>
      </c>
      <c r="R44" s="44" t="s">
        <v>717</v>
      </c>
      <c r="S44" s="46" t="s">
        <v>717</v>
      </c>
      <c r="T44" s="46" t="s">
        <v>717</v>
      </c>
      <c r="U44" s="46" t="s">
        <v>717</v>
      </c>
      <c r="V44" s="46" t="s">
        <v>717</v>
      </c>
      <c r="W44" s="48" t="s">
        <v>717</v>
      </c>
      <c r="X44" s="49" t="s">
        <v>717</v>
      </c>
      <c r="Y44" s="50" t="s">
        <v>717</v>
      </c>
      <c r="Z44" s="51" t="s">
        <v>717</v>
      </c>
      <c r="AA44" s="53" t="s">
        <v>717</v>
      </c>
      <c r="AB44" s="54" t="s">
        <v>717</v>
      </c>
      <c r="AC44" s="55" t="s">
        <v>717</v>
      </c>
      <c r="AD44" s="56" t="s">
        <v>717</v>
      </c>
      <c r="AE44" s="58" t="s">
        <v>717</v>
      </c>
      <c r="AF44" s="59" t="s">
        <v>717</v>
      </c>
      <c r="AG44" s="60" t="s">
        <v>717</v>
      </c>
      <c r="AH44" s="61" t="s">
        <v>717</v>
      </c>
      <c r="AI44" s="64">
        <v>3</v>
      </c>
      <c r="AJ44" s="66"/>
      <c r="AK44" s="22" t="s">
        <v>717</v>
      </c>
      <c r="AL44" s="23"/>
      <c r="AM44" s="23" t="s">
        <v>696</v>
      </c>
    </row>
    <row r="45" spans="1:41" s="3" customFormat="1" ht="14.5" x14ac:dyDescent="0.35">
      <c r="A45" s="24">
        <v>39</v>
      </c>
      <c r="B45" s="11" t="s">
        <v>5</v>
      </c>
      <c r="C45" s="11" t="s">
        <v>479</v>
      </c>
      <c r="D45" s="11">
        <v>117763</v>
      </c>
      <c r="E45" s="11">
        <v>48160</v>
      </c>
      <c r="F45" s="20" t="s">
        <v>559</v>
      </c>
      <c r="G45" s="20" t="s">
        <v>739</v>
      </c>
      <c r="H45" s="6">
        <v>28.195989999999998</v>
      </c>
      <c r="I45" s="6">
        <v>70.066929999999999</v>
      </c>
      <c r="J45" s="12" t="s">
        <v>13</v>
      </c>
      <c r="K45" s="11" t="s">
        <v>91</v>
      </c>
      <c r="L45" s="11" t="s">
        <v>433</v>
      </c>
      <c r="M45" s="11" t="s">
        <v>426</v>
      </c>
      <c r="N45" s="39">
        <f t="shared" si="0"/>
        <v>3</v>
      </c>
      <c r="O45" s="41" t="s">
        <v>717</v>
      </c>
      <c r="P45" s="42" t="s">
        <v>717</v>
      </c>
      <c r="Q45" s="43" t="s">
        <v>717</v>
      </c>
      <c r="R45" s="44" t="s">
        <v>717</v>
      </c>
      <c r="S45" s="46" t="s">
        <v>717</v>
      </c>
      <c r="T45" s="46" t="s">
        <v>717</v>
      </c>
      <c r="U45" s="46" t="s">
        <v>717</v>
      </c>
      <c r="V45" s="46" t="s">
        <v>717</v>
      </c>
      <c r="W45" s="48" t="s">
        <v>717</v>
      </c>
      <c r="X45" s="49" t="s">
        <v>717</v>
      </c>
      <c r="Y45" s="50" t="s">
        <v>717</v>
      </c>
      <c r="Z45" s="51" t="s">
        <v>717</v>
      </c>
      <c r="AA45" s="53" t="s">
        <v>717</v>
      </c>
      <c r="AB45" s="54" t="s">
        <v>717</v>
      </c>
      <c r="AC45" s="55" t="s">
        <v>717</v>
      </c>
      <c r="AD45" s="56" t="s">
        <v>717</v>
      </c>
      <c r="AE45" s="58" t="s">
        <v>717</v>
      </c>
      <c r="AF45" s="59" t="s">
        <v>717</v>
      </c>
      <c r="AG45" s="60" t="s">
        <v>717</v>
      </c>
      <c r="AH45" s="61" t="s">
        <v>717</v>
      </c>
      <c r="AI45" s="64">
        <v>3</v>
      </c>
      <c r="AJ45" s="66"/>
      <c r="AK45" s="22" t="s">
        <v>717</v>
      </c>
      <c r="AL45" s="23"/>
      <c r="AM45" s="23" t="s">
        <v>699</v>
      </c>
    </row>
    <row r="46" spans="1:41" s="3" customFormat="1" ht="14.5" x14ac:dyDescent="0.35">
      <c r="A46" s="24">
        <v>40</v>
      </c>
      <c r="B46" s="11" t="s">
        <v>5</v>
      </c>
      <c r="C46" s="11" t="s">
        <v>106</v>
      </c>
      <c r="D46" s="11">
        <v>102413</v>
      </c>
      <c r="E46" s="11">
        <v>48161</v>
      </c>
      <c r="F46" s="20" t="s">
        <v>559</v>
      </c>
      <c r="G46" s="20" t="s">
        <v>739</v>
      </c>
      <c r="H46" s="6">
        <v>28.137440000000002</v>
      </c>
      <c r="I46" s="6">
        <v>70.050740000000005</v>
      </c>
      <c r="J46" s="12" t="s">
        <v>13</v>
      </c>
      <c r="K46" s="11" t="s">
        <v>6</v>
      </c>
      <c r="L46" s="11" t="s">
        <v>433</v>
      </c>
      <c r="M46" s="11" t="s">
        <v>254</v>
      </c>
      <c r="N46" s="39">
        <f t="shared" si="0"/>
        <v>3</v>
      </c>
      <c r="O46" s="41" t="s">
        <v>717</v>
      </c>
      <c r="P46" s="42" t="s">
        <v>717</v>
      </c>
      <c r="Q46" s="43" t="s">
        <v>717</v>
      </c>
      <c r="R46" s="44" t="s">
        <v>717</v>
      </c>
      <c r="S46" s="46" t="s">
        <v>717</v>
      </c>
      <c r="T46" s="46" t="s">
        <v>717</v>
      </c>
      <c r="U46" s="46" t="s">
        <v>717</v>
      </c>
      <c r="V46" s="46" t="s">
        <v>717</v>
      </c>
      <c r="W46" s="48" t="s">
        <v>717</v>
      </c>
      <c r="X46" s="49" t="s">
        <v>717</v>
      </c>
      <c r="Y46" s="50" t="s">
        <v>717</v>
      </c>
      <c r="Z46" s="51" t="s">
        <v>717</v>
      </c>
      <c r="AA46" s="53" t="s">
        <v>717</v>
      </c>
      <c r="AB46" s="54" t="s">
        <v>717</v>
      </c>
      <c r="AC46" s="55" t="s">
        <v>717</v>
      </c>
      <c r="AD46" s="56" t="s">
        <v>717</v>
      </c>
      <c r="AE46" s="58" t="s">
        <v>717</v>
      </c>
      <c r="AF46" s="59" t="s">
        <v>717</v>
      </c>
      <c r="AG46" s="60" t="s">
        <v>717</v>
      </c>
      <c r="AH46" s="61" t="s">
        <v>717</v>
      </c>
      <c r="AI46" s="64">
        <v>3</v>
      </c>
      <c r="AJ46" s="66"/>
      <c r="AK46" s="22" t="s">
        <v>717</v>
      </c>
      <c r="AL46" s="23"/>
      <c r="AM46" s="23" t="s">
        <v>667</v>
      </c>
    </row>
    <row r="47" spans="1:41" s="3" customFormat="1" ht="14.5" x14ac:dyDescent="0.35">
      <c r="A47" s="24">
        <v>41</v>
      </c>
      <c r="B47" s="11" t="s">
        <v>5</v>
      </c>
      <c r="C47" s="11" t="s">
        <v>517</v>
      </c>
      <c r="D47" s="11">
        <v>115721</v>
      </c>
      <c r="E47" s="11">
        <v>48162</v>
      </c>
      <c r="F47" s="20" t="s">
        <v>560</v>
      </c>
      <c r="G47" s="20" t="s">
        <v>738</v>
      </c>
      <c r="H47" s="6">
        <v>28.36562</v>
      </c>
      <c r="I47" s="6">
        <v>70.163749999999993</v>
      </c>
      <c r="J47" s="12" t="s">
        <v>91</v>
      </c>
      <c r="K47" s="11" t="s">
        <v>91</v>
      </c>
      <c r="L47" s="11" t="s">
        <v>433</v>
      </c>
      <c r="M47" s="11" t="s">
        <v>366</v>
      </c>
      <c r="N47" s="39">
        <f t="shared" si="0"/>
        <v>4</v>
      </c>
      <c r="O47" s="41" t="s">
        <v>593</v>
      </c>
      <c r="P47" s="42">
        <v>0</v>
      </c>
      <c r="Q47" s="43">
        <v>4</v>
      </c>
      <c r="R47" s="44">
        <v>0</v>
      </c>
      <c r="S47" s="46" t="s">
        <v>717</v>
      </c>
      <c r="T47" s="46" t="s">
        <v>717</v>
      </c>
      <c r="U47" s="46" t="s">
        <v>717</v>
      </c>
      <c r="V47" s="46" t="s">
        <v>717</v>
      </c>
      <c r="W47" s="48" t="s">
        <v>717</v>
      </c>
      <c r="X47" s="49" t="s">
        <v>717</v>
      </c>
      <c r="Y47" s="50" t="s">
        <v>717</v>
      </c>
      <c r="Z47" s="51" t="s">
        <v>717</v>
      </c>
      <c r="AA47" s="53" t="s">
        <v>717</v>
      </c>
      <c r="AB47" s="54" t="s">
        <v>717</v>
      </c>
      <c r="AC47" s="55" t="s">
        <v>717</v>
      </c>
      <c r="AD47" s="56" t="s">
        <v>717</v>
      </c>
      <c r="AE47" s="58" t="s">
        <v>717</v>
      </c>
      <c r="AF47" s="59" t="s">
        <v>717</v>
      </c>
      <c r="AG47" s="60" t="s">
        <v>717</v>
      </c>
      <c r="AH47" s="61" t="s">
        <v>717</v>
      </c>
      <c r="AI47" s="64"/>
      <c r="AJ47" s="66"/>
      <c r="AK47" s="22">
        <v>4</v>
      </c>
      <c r="AL47" s="23"/>
      <c r="AM47" s="23"/>
      <c r="AN47" s="123">
        <f>N47-AK47</f>
        <v>0</v>
      </c>
    </row>
    <row r="48" spans="1:41" s="3" customFormat="1" ht="14.5" x14ac:dyDescent="0.35">
      <c r="A48" s="24">
        <v>42</v>
      </c>
      <c r="B48" s="11" t="s">
        <v>5</v>
      </c>
      <c r="C48" s="11" t="s">
        <v>519</v>
      </c>
      <c r="D48" s="11">
        <v>117970</v>
      </c>
      <c r="E48" s="11">
        <v>48163</v>
      </c>
      <c r="F48" s="20" t="s">
        <v>559</v>
      </c>
      <c r="G48" s="20" t="s">
        <v>739</v>
      </c>
      <c r="H48" s="6">
        <v>28.404330000000002</v>
      </c>
      <c r="I48" s="6">
        <v>70.193449999999999</v>
      </c>
      <c r="J48" s="11" t="s">
        <v>102</v>
      </c>
      <c r="K48" s="11" t="s">
        <v>91</v>
      </c>
      <c r="L48" s="11" t="s">
        <v>433</v>
      </c>
      <c r="M48" s="11" t="s">
        <v>429</v>
      </c>
      <c r="N48" s="39">
        <f t="shared" si="0"/>
        <v>4</v>
      </c>
      <c r="O48" s="41" t="s">
        <v>717</v>
      </c>
      <c r="P48" s="42" t="s">
        <v>717</v>
      </c>
      <c r="Q48" s="43" t="s">
        <v>717</v>
      </c>
      <c r="R48" s="44" t="s">
        <v>717</v>
      </c>
      <c r="S48" s="46" t="s">
        <v>717</v>
      </c>
      <c r="T48" s="46" t="s">
        <v>717</v>
      </c>
      <c r="U48" s="46" t="s">
        <v>717</v>
      </c>
      <c r="V48" s="46" t="s">
        <v>717</v>
      </c>
      <c r="W48" s="48" t="s">
        <v>717</v>
      </c>
      <c r="X48" s="49" t="s">
        <v>717</v>
      </c>
      <c r="Y48" s="50" t="s">
        <v>717</v>
      </c>
      <c r="Z48" s="51" t="s">
        <v>717</v>
      </c>
      <c r="AA48" s="53" t="s">
        <v>717</v>
      </c>
      <c r="AB48" s="54" t="s">
        <v>717</v>
      </c>
      <c r="AC48" s="55" t="s">
        <v>717</v>
      </c>
      <c r="AD48" s="56" t="s">
        <v>717</v>
      </c>
      <c r="AE48" s="58" t="s">
        <v>717</v>
      </c>
      <c r="AF48" s="59" t="s">
        <v>717</v>
      </c>
      <c r="AG48" s="60" t="s">
        <v>717</v>
      </c>
      <c r="AH48" s="61" t="s">
        <v>717</v>
      </c>
      <c r="AI48" s="64">
        <v>4</v>
      </c>
      <c r="AJ48" s="66"/>
      <c r="AK48" s="22" t="s">
        <v>717</v>
      </c>
      <c r="AL48" s="23"/>
      <c r="AM48" s="23" t="s">
        <v>669</v>
      </c>
    </row>
    <row r="49" spans="1:41" s="3" customFormat="1" ht="14.5" x14ac:dyDescent="0.35">
      <c r="A49" s="24">
        <v>43</v>
      </c>
      <c r="B49" s="11" t="s">
        <v>5</v>
      </c>
      <c r="C49" s="11" t="s">
        <v>105</v>
      </c>
      <c r="D49" s="11">
        <v>102453</v>
      </c>
      <c r="E49" s="11">
        <v>48164</v>
      </c>
      <c r="F49" s="20" t="s">
        <v>560</v>
      </c>
      <c r="G49" s="20" t="s">
        <v>738</v>
      </c>
      <c r="H49" s="6">
        <v>28.24662</v>
      </c>
      <c r="I49" s="6">
        <v>69.96414</v>
      </c>
      <c r="J49" s="12" t="s">
        <v>13</v>
      </c>
      <c r="K49" s="11" t="s">
        <v>91</v>
      </c>
      <c r="L49" s="11" t="s">
        <v>433</v>
      </c>
      <c r="M49" s="11" t="s">
        <v>253</v>
      </c>
      <c r="N49" s="39">
        <f t="shared" si="0"/>
        <v>4</v>
      </c>
      <c r="O49" s="41" t="s">
        <v>598</v>
      </c>
      <c r="P49" s="42">
        <v>0</v>
      </c>
      <c r="Q49" s="43">
        <v>4</v>
      </c>
      <c r="R49" s="44">
        <v>0</v>
      </c>
      <c r="S49" s="46" t="s">
        <v>717</v>
      </c>
      <c r="T49" s="46" t="s">
        <v>717</v>
      </c>
      <c r="U49" s="46" t="s">
        <v>717</v>
      </c>
      <c r="V49" s="46" t="s">
        <v>717</v>
      </c>
      <c r="W49" s="48" t="s">
        <v>717</v>
      </c>
      <c r="X49" s="49" t="s">
        <v>717</v>
      </c>
      <c r="Y49" s="50" t="s">
        <v>717</v>
      </c>
      <c r="Z49" s="51" t="s">
        <v>717</v>
      </c>
      <c r="AA49" s="53" t="s">
        <v>717</v>
      </c>
      <c r="AB49" s="54" t="s">
        <v>717</v>
      </c>
      <c r="AC49" s="55" t="s">
        <v>717</v>
      </c>
      <c r="AD49" s="56" t="s">
        <v>717</v>
      </c>
      <c r="AE49" s="58" t="s">
        <v>717</v>
      </c>
      <c r="AF49" s="59" t="s">
        <v>717</v>
      </c>
      <c r="AG49" s="60" t="s">
        <v>717</v>
      </c>
      <c r="AH49" s="61" t="s">
        <v>717</v>
      </c>
      <c r="AI49" s="64"/>
      <c r="AJ49" s="66"/>
      <c r="AK49" s="22" t="s">
        <v>717</v>
      </c>
      <c r="AL49" s="23"/>
      <c r="AM49" s="23"/>
    </row>
    <row r="50" spans="1:41" s="3" customFormat="1" ht="14.5" x14ac:dyDescent="0.35">
      <c r="A50" s="24">
        <v>44</v>
      </c>
      <c r="B50" s="11" t="s">
        <v>5</v>
      </c>
      <c r="C50" s="11" t="s">
        <v>93</v>
      </c>
      <c r="D50" s="11">
        <v>113670</v>
      </c>
      <c r="E50" s="11">
        <v>48165</v>
      </c>
      <c r="F50" s="20" t="s">
        <v>560</v>
      </c>
      <c r="G50" s="20" t="s">
        <v>738</v>
      </c>
      <c r="H50" s="6">
        <v>28.362069999999999</v>
      </c>
      <c r="I50" s="6">
        <v>70.011880000000005</v>
      </c>
      <c r="J50" s="12" t="s">
        <v>91</v>
      </c>
      <c r="K50" s="11" t="s">
        <v>91</v>
      </c>
      <c r="L50" s="11" t="s">
        <v>433</v>
      </c>
      <c r="M50" s="11" t="s">
        <v>240</v>
      </c>
      <c r="N50" s="39">
        <f t="shared" si="0"/>
        <v>4</v>
      </c>
      <c r="O50" s="41" t="s">
        <v>593</v>
      </c>
      <c r="P50" s="42">
        <v>0</v>
      </c>
      <c r="Q50" s="43">
        <v>4</v>
      </c>
      <c r="R50" s="44">
        <v>0</v>
      </c>
      <c r="S50" s="46" t="s">
        <v>717</v>
      </c>
      <c r="T50" s="46" t="s">
        <v>717</v>
      </c>
      <c r="U50" s="46" t="s">
        <v>717</v>
      </c>
      <c r="V50" s="46" t="s">
        <v>717</v>
      </c>
      <c r="W50" s="48" t="s">
        <v>717</v>
      </c>
      <c r="X50" s="49" t="s">
        <v>717</v>
      </c>
      <c r="Y50" s="50" t="s">
        <v>717</v>
      </c>
      <c r="Z50" s="51" t="s">
        <v>717</v>
      </c>
      <c r="AA50" s="53" t="s">
        <v>717</v>
      </c>
      <c r="AB50" s="54" t="s">
        <v>717</v>
      </c>
      <c r="AC50" s="55" t="s">
        <v>717</v>
      </c>
      <c r="AD50" s="56" t="s">
        <v>717</v>
      </c>
      <c r="AE50" s="58" t="s">
        <v>717</v>
      </c>
      <c r="AF50" s="59" t="s">
        <v>717</v>
      </c>
      <c r="AG50" s="60" t="s">
        <v>717</v>
      </c>
      <c r="AH50" s="61" t="s">
        <v>717</v>
      </c>
      <c r="AI50" s="64"/>
      <c r="AJ50" s="66"/>
      <c r="AK50" s="22">
        <v>4</v>
      </c>
      <c r="AL50" s="23"/>
      <c r="AM50" s="23"/>
      <c r="AN50" s="123">
        <f>N50-AK50</f>
        <v>0</v>
      </c>
    </row>
    <row r="51" spans="1:41" s="3" customFormat="1" ht="14.5" x14ac:dyDescent="0.35">
      <c r="A51" s="24">
        <v>45</v>
      </c>
      <c r="B51" s="11" t="s">
        <v>5</v>
      </c>
      <c r="C51" s="11" t="s">
        <v>509</v>
      </c>
      <c r="D51" s="11">
        <v>116189</v>
      </c>
      <c r="E51" s="11">
        <v>48167</v>
      </c>
      <c r="F51" s="20" t="s">
        <v>559</v>
      </c>
      <c r="G51" s="20" t="s">
        <v>739</v>
      </c>
      <c r="H51" s="6">
        <v>28.431429999999999</v>
      </c>
      <c r="I51" s="6">
        <v>70.083609999999993</v>
      </c>
      <c r="J51" s="12" t="s">
        <v>91</v>
      </c>
      <c r="K51" s="11" t="s">
        <v>91</v>
      </c>
      <c r="L51" s="11" t="s">
        <v>433</v>
      </c>
      <c r="M51" s="11" t="s">
        <v>242</v>
      </c>
      <c r="N51" s="39">
        <f t="shared" si="0"/>
        <v>3</v>
      </c>
      <c r="O51" s="41" t="s">
        <v>717</v>
      </c>
      <c r="P51" s="42" t="s">
        <v>717</v>
      </c>
      <c r="Q51" s="43" t="s">
        <v>717</v>
      </c>
      <c r="R51" s="44" t="s">
        <v>717</v>
      </c>
      <c r="S51" s="46" t="s">
        <v>717</v>
      </c>
      <c r="T51" s="46" t="s">
        <v>717</v>
      </c>
      <c r="U51" s="46" t="s">
        <v>717</v>
      </c>
      <c r="V51" s="46" t="s">
        <v>717</v>
      </c>
      <c r="W51" s="48" t="s">
        <v>717</v>
      </c>
      <c r="X51" s="49" t="s">
        <v>717</v>
      </c>
      <c r="Y51" s="50" t="s">
        <v>717</v>
      </c>
      <c r="Z51" s="51" t="s">
        <v>717</v>
      </c>
      <c r="AA51" s="53" t="s">
        <v>717</v>
      </c>
      <c r="AB51" s="54" t="s">
        <v>717</v>
      </c>
      <c r="AC51" s="55" t="s">
        <v>717</v>
      </c>
      <c r="AD51" s="56" t="s">
        <v>717</v>
      </c>
      <c r="AE51" s="58" t="s">
        <v>717</v>
      </c>
      <c r="AF51" s="59" t="s">
        <v>717</v>
      </c>
      <c r="AG51" s="60" t="s">
        <v>717</v>
      </c>
      <c r="AH51" s="61" t="s">
        <v>717</v>
      </c>
      <c r="AI51" s="64">
        <v>3</v>
      </c>
      <c r="AJ51" s="66"/>
      <c r="AK51" s="22" t="s">
        <v>717</v>
      </c>
      <c r="AL51" s="23"/>
      <c r="AM51" s="23" t="s">
        <v>668</v>
      </c>
    </row>
    <row r="52" spans="1:41" s="3" customFormat="1" ht="14.5" x14ac:dyDescent="0.35">
      <c r="A52" s="24">
        <v>46</v>
      </c>
      <c r="B52" s="11" t="s">
        <v>5</v>
      </c>
      <c r="C52" s="11" t="s">
        <v>98</v>
      </c>
      <c r="D52" s="11">
        <v>102482</v>
      </c>
      <c r="E52" s="11">
        <v>48168</v>
      </c>
      <c r="F52" s="20" t="s">
        <v>559</v>
      </c>
      <c r="G52" s="20" t="s">
        <v>739</v>
      </c>
      <c r="H52" s="6">
        <v>28.39912</v>
      </c>
      <c r="I52" s="6">
        <v>70.083569999999995</v>
      </c>
      <c r="J52" s="12" t="s">
        <v>13</v>
      </c>
      <c r="K52" s="11" t="s">
        <v>91</v>
      </c>
      <c r="L52" s="11" t="s">
        <v>433</v>
      </c>
      <c r="M52" s="11" t="s">
        <v>247</v>
      </c>
      <c r="N52" s="39">
        <f t="shared" si="0"/>
        <v>4</v>
      </c>
      <c r="O52" s="41" t="s">
        <v>717</v>
      </c>
      <c r="P52" s="42" t="s">
        <v>717</v>
      </c>
      <c r="Q52" s="43" t="s">
        <v>717</v>
      </c>
      <c r="R52" s="44" t="s">
        <v>717</v>
      </c>
      <c r="S52" s="46" t="s">
        <v>717</v>
      </c>
      <c r="T52" s="46" t="s">
        <v>717</v>
      </c>
      <c r="U52" s="46" t="s">
        <v>717</v>
      </c>
      <c r="V52" s="46" t="s">
        <v>717</v>
      </c>
      <c r="W52" s="48" t="s">
        <v>717</v>
      </c>
      <c r="X52" s="49" t="s">
        <v>717</v>
      </c>
      <c r="Y52" s="50" t="s">
        <v>717</v>
      </c>
      <c r="Z52" s="51" t="s">
        <v>717</v>
      </c>
      <c r="AA52" s="53" t="s">
        <v>717</v>
      </c>
      <c r="AB52" s="54" t="s">
        <v>717</v>
      </c>
      <c r="AC52" s="55" t="s">
        <v>717</v>
      </c>
      <c r="AD52" s="56" t="s">
        <v>717</v>
      </c>
      <c r="AE52" s="58" t="s">
        <v>717</v>
      </c>
      <c r="AF52" s="59" t="s">
        <v>717</v>
      </c>
      <c r="AG52" s="60" t="s">
        <v>717</v>
      </c>
      <c r="AH52" s="61" t="s">
        <v>717</v>
      </c>
      <c r="AI52" s="64">
        <v>4</v>
      </c>
      <c r="AJ52" s="66"/>
      <c r="AK52" s="22" t="s">
        <v>717</v>
      </c>
      <c r="AL52" s="23"/>
      <c r="AM52" s="23" t="s">
        <v>704</v>
      </c>
    </row>
    <row r="53" spans="1:41" s="3" customFormat="1" ht="14.5" x14ac:dyDescent="0.35">
      <c r="A53" s="24">
        <v>47</v>
      </c>
      <c r="B53" s="11" t="s">
        <v>5</v>
      </c>
      <c r="C53" s="11" t="s">
        <v>319</v>
      </c>
      <c r="D53" s="11">
        <v>114535</v>
      </c>
      <c r="E53" s="10">
        <v>48169</v>
      </c>
      <c r="F53" s="20" t="s">
        <v>559</v>
      </c>
      <c r="G53" s="20" t="s">
        <v>739</v>
      </c>
      <c r="H53" s="6">
        <v>28.54241</v>
      </c>
      <c r="I53" s="6">
        <v>70.095910000000003</v>
      </c>
      <c r="J53" s="12" t="s">
        <v>91</v>
      </c>
      <c r="K53" s="11" t="s">
        <v>6</v>
      </c>
      <c r="L53" s="11" t="s">
        <v>433</v>
      </c>
      <c r="M53" s="11" t="s">
        <v>320</v>
      </c>
      <c r="N53" s="39">
        <f t="shared" si="0"/>
        <v>3</v>
      </c>
      <c r="O53" s="41" t="s">
        <v>717</v>
      </c>
      <c r="P53" s="42" t="s">
        <v>717</v>
      </c>
      <c r="Q53" s="43" t="s">
        <v>717</v>
      </c>
      <c r="R53" s="44" t="s">
        <v>717</v>
      </c>
      <c r="S53" s="46" t="s">
        <v>717</v>
      </c>
      <c r="T53" s="46" t="s">
        <v>717</v>
      </c>
      <c r="U53" s="46" t="s">
        <v>717</v>
      </c>
      <c r="V53" s="46" t="s">
        <v>717</v>
      </c>
      <c r="W53" s="48" t="s">
        <v>717</v>
      </c>
      <c r="X53" s="49" t="s">
        <v>717</v>
      </c>
      <c r="Y53" s="50" t="s">
        <v>717</v>
      </c>
      <c r="Z53" s="51" t="s">
        <v>717</v>
      </c>
      <c r="AA53" s="53" t="s">
        <v>717</v>
      </c>
      <c r="AB53" s="54" t="s">
        <v>717</v>
      </c>
      <c r="AC53" s="55" t="s">
        <v>717</v>
      </c>
      <c r="AD53" s="56" t="s">
        <v>717</v>
      </c>
      <c r="AE53" s="58" t="s">
        <v>717</v>
      </c>
      <c r="AF53" s="59" t="s">
        <v>717</v>
      </c>
      <c r="AG53" s="60" t="s">
        <v>717</v>
      </c>
      <c r="AH53" s="61" t="s">
        <v>717</v>
      </c>
      <c r="AI53" s="64">
        <v>3</v>
      </c>
      <c r="AJ53" s="66"/>
      <c r="AK53" s="36">
        <v>2</v>
      </c>
      <c r="AL53" s="23"/>
      <c r="AM53" s="23" t="s">
        <v>667</v>
      </c>
      <c r="AN53" s="123">
        <f>N53-AK53</f>
        <v>1</v>
      </c>
      <c r="AO53" s="31">
        <f>SUM(P53:R53)-AK53</f>
        <v>-2</v>
      </c>
    </row>
    <row r="54" spans="1:41" s="3" customFormat="1" ht="14.5" x14ac:dyDescent="0.35">
      <c r="A54" s="24">
        <v>48</v>
      </c>
      <c r="B54" s="11" t="s">
        <v>5</v>
      </c>
      <c r="C54" s="11" t="s">
        <v>95</v>
      </c>
      <c r="D54" s="11">
        <v>102582</v>
      </c>
      <c r="E54" s="11">
        <v>48170</v>
      </c>
      <c r="F54" s="20" t="s">
        <v>559</v>
      </c>
      <c r="G54" s="20" t="s">
        <v>739</v>
      </c>
      <c r="H54" s="6">
        <v>28.419550000000001</v>
      </c>
      <c r="I54" s="6">
        <v>70.086179999999999</v>
      </c>
      <c r="J54" s="12" t="s">
        <v>13</v>
      </c>
      <c r="K54" s="11" t="s">
        <v>91</v>
      </c>
      <c r="L54" s="11" t="s">
        <v>433</v>
      </c>
      <c r="M54" s="11" t="s">
        <v>244</v>
      </c>
      <c r="N54" s="39">
        <f t="shared" si="0"/>
        <v>3</v>
      </c>
      <c r="O54" s="41" t="s">
        <v>717</v>
      </c>
      <c r="P54" s="42" t="s">
        <v>717</v>
      </c>
      <c r="Q54" s="43" t="s">
        <v>717</v>
      </c>
      <c r="R54" s="44" t="s">
        <v>717</v>
      </c>
      <c r="S54" s="46" t="s">
        <v>717</v>
      </c>
      <c r="T54" s="46" t="s">
        <v>717</v>
      </c>
      <c r="U54" s="46" t="s">
        <v>717</v>
      </c>
      <c r="V54" s="46" t="s">
        <v>717</v>
      </c>
      <c r="W54" s="48" t="s">
        <v>717</v>
      </c>
      <c r="X54" s="49" t="s">
        <v>717</v>
      </c>
      <c r="Y54" s="50" t="s">
        <v>717</v>
      </c>
      <c r="Z54" s="51" t="s">
        <v>717</v>
      </c>
      <c r="AA54" s="53" t="s">
        <v>717</v>
      </c>
      <c r="AB54" s="54" t="s">
        <v>717</v>
      </c>
      <c r="AC54" s="55" t="s">
        <v>717</v>
      </c>
      <c r="AD54" s="56" t="s">
        <v>717</v>
      </c>
      <c r="AE54" s="58" t="s">
        <v>717</v>
      </c>
      <c r="AF54" s="59" t="s">
        <v>717</v>
      </c>
      <c r="AG54" s="60" t="s">
        <v>717</v>
      </c>
      <c r="AH54" s="61" t="s">
        <v>717</v>
      </c>
      <c r="AI54" s="64">
        <v>3</v>
      </c>
      <c r="AJ54" s="66"/>
      <c r="AK54" s="22" t="s">
        <v>717</v>
      </c>
      <c r="AL54" s="23"/>
      <c r="AM54" s="23" t="s">
        <v>660</v>
      </c>
    </row>
    <row r="55" spans="1:41" s="3" customFormat="1" ht="14.5" x14ac:dyDescent="0.35">
      <c r="A55" s="24">
        <v>49</v>
      </c>
      <c r="B55" s="11" t="s">
        <v>5</v>
      </c>
      <c r="C55" s="11" t="s">
        <v>83</v>
      </c>
      <c r="D55" s="11">
        <v>102805</v>
      </c>
      <c r="E55" s="11">
        <v>48171</v>
      </c>
      <c r="F55" s="20" t="s">
        <v>560</v>
      </c>
      <c r="G55" s="20" t="s">
        <v>738</v>
      </c>
      <c r="H55" s="6">
        <v>29.30124</v>
      </c>
      <c r="I55" s="6">
        <v>71.527649999999994</v>
      </c>
      <c r="J55" s="12" t="s">
        <v>6</v>
      </c>
      <c r="K55" s="11" t="s">
        <v>6</v>
      </c>
      <c r="L55" s="11" t="s">
        <v>433</v>
      </c>
      <c r="M55" s="11" t="s">
        <v>223</v>
      </c>
      <c r="N55" s="39">
        <f t="shared" si="0"/>
        <v>3</v>
      </c>
      <c r="O55" s="41" t="s">
        <v>717</v>
      </c>
      <c r="P55" s="42" t="s">
        <v>717</v>
      </c>
      <c r="Q55" s="43" t="s">
        <v>717</v>
      </c>
      <c r="R55" s="44" t="s">
        <v>717</v>
      </c>
      <c r="S55" s="46" t="s">
        <v>580</v>
      </c>
      <c r="T55" s="46">
        <v>1</v>
      </c>
      <c r="U55" s="46">
        <v>2</v>
      </c>
      <c r="V55" s="46">
        <v>0</v>
      </c>
      <c r="W55" s="48" t="s">
        <v>717</v>
      </c>
      <c r="X55" s="49" t="s">
        <v>717</v>
      </c>
      <c r="Y55" s="50" t="s">
        <v>717</v>
      </c>
      <c r="Z55" s="51" t="s">
        <v>717</v>
      </c>
      <c r="AA55" s="53" t="s">
        <v>717</v>
      </c>
      <c r="AB55" s="54" t="s">
        <v>717</v>
      </c>
      <c r="AC55" s="55" t="s">
        <v>717</v>
      </c>
      <c r="AD55" s="56" t="s">
        <v>717</v>
      </c>
      <c r="AE55" s="58" t="s">
        <v>717</v>
      </c>
      <c r="AF55" s="59" t="s">
        <v>717</v>
      </c>
      <c r="AG55" s="60" t="s">
        <v>717</v>
      </c>
      <c r="AH55" s="61" t="s">
        <v>717</v>
      </c>
      <c r="AI55" s="64"/>
      <c r="AJ55" s="66"/>
      <c r="AK55" s="22" t="s">
        <v>717</v>
      </c>
      <c r="AL55" s="23"/>
      <c r="AM55" s="23"/>
    </row>
    <row r="56" spans="1:41" s="3" customFormat="1" ht="14.5" x14ac:dyDescent="0.35">
      <c r="A56" s="24">
        <v>50</v>
      </c>
      <c r="B56" s="11" t="s">
        <v>5</v>
      </c>
      <c r="C56" s="11" t="s">
        <v>107</v>
      </c>
      <c r="D56" s="11">
        <v>103176</v>
      </c>
      <c r="E56" s="11">
        <v>48174</v>
      </c>
      <c r="F56" s="20" t="s">
        <v>559</v>
      </c>
      <c r="G56" s="20" t="s">
        <v>739</v>
      </c>
      <c r="H56" s="6">
        <v>28.22767</v>
      </c>
      <c r="I56" s="6">
        <v>69.919979999999995</v>
      </c>
      <c r="J56" s="12" t="s">
        <v>13</v>
      </c>
      <c r="K56" s="11" t="s">
        <v>91</v>
      </c>
      <c r="L56" s="11" t="s">
        <v>433</v>
      </c>
      <c r="M56" s="11" t="s">
        <v>255</v>
      </c>
      <c r="N56" s="39">
        <f t="shared" si="0"/>
        <v>3</v>
      </c>
      <c r="O56" s="41" t="s">
        <v>717</v>
      </c>
      <c r="P56" s="42" t="s">
        <v>717</v>
      </c>
      <c r="Q56" s="43" t="s">
        <v>717</v>
      </c>
      <c r="R56" s="44" t="s">
        <v>717</v>
      </c>
      <c r="S56" s="46" t="s">
        <v>717</v>
      </c>
      <c r="T56" s="46" t="s">
        <v>717</v>
      </c>
      <c r="U56" s="46" t="s">
        <v>717</v>
      </c>
      <c r="V56" s="46" t="s">
        <v>717</v>
      </c>
      <c r="W56" s="48" t="s">
        <v>717</v>
      </c>
      <c r="X56" s="49" t="s">
        <v>717</v>
      </c>
      <c r="Y56" s="50" t="s">
        <v>717</v>
      </c>
      <c r="Z56" s="51" t="s">
        <v>717</v>
      </c>
      <c r="AA56" s="53" t="s">
        <v>717</v>
      </c>
      <c r="AB56" s="54" t="s">
        <v>717</v>
      </c>
      <c r="AC56" s="55" t="s">
        <v>717</v>
      </c>
      <c r="AD56" s="56" t="s">
        <v>717</v>
      </c>
      <c r="AE56" s="58" t="s">
        <v>717</v>
      </c>
      <c r="AF56" s="59" t="s">
        <v>717</v>
      </c>
      <c r="AG56" s="60" t="s">
        <v>717</v>
      </c>
      <c r="AH56" s="61" t="s">
        <v>717</v>
      </c>
      <c r="AI56" s="64">
        <v>3</v>
      </c>
      <c r="AJ56" s="66"/>
      <c r="AK56" s="22" t="s">
        <v>717</v>
      </c>
      <c r="AL56" s="23"/>
      <c r="AM56" s="23" t="s">
        <v>664</v>
      </c>
    </row>
    <row r="57" spans="1:41" s="3" customFormat="1" ht="14.5" x14ac:dyDescent="0.35">
      <c r="A57" s="24">
        <v>51</v>
      </c>
      <c r="B57" s="11" t="s">
        <v>5</v>
      </c>
      <c r="C57" s="11" t="s">
        <v>138</v>
      </c>
      <c r="D57" s="11">
        <v>115389</v>
      </c>
      <c r="E57" s="11">
        <v>48175</v>
      </c>
      <c r="F57" s="20" t="s">
        <v>559</v>
      </c>
      <c r="G57" s="20" t="s">
        <v>739</v>
      </c>
      <c r="H57" s="6">
        <v>28.193280000000001</v>
      </c>
      <c r="I57" s="6">
        <v>70.224140000000006</v>
      </c>
      <c r="J57" s="12" t="s">
        <v>91</v>
      </c>
      <c r="K57" s="11" t="s">
        <v>6</v>
      </c>
      <c r="L57" s="11" t="s">
        <v>433</v>
      </c>
      <c r="M57" s="11" t="s">
        <v>344</v>
      </c>
      <c r="N57" s="39">
        <f t="shared" si="0"/>
        <v>3</v>
      </c>
      <c r="O57" s="41" t="s">
        <v>717</v>
      </c>
      <c r="P57" s="42" t="s">
        <v>717</v>
      </c>
      <c r="Q57" s="43" t="s">
        <v>717</v>
      </c>
      <c r="R57" s="44" t="s">
        <v>717</v>
      </c>
      <c r="S57" s="46" t="s">
        <v>717</v>
      </c>
      <c r="T57" s="46" t="s">
        <v>717</v>
      </c>
      <c r="U57" s="46" t="s">
        <v>717</v>
      </c>
      <c r="V57" s="46" t="s">
        <v>717</v>
      </c>
      <c r="W57" s="48" t="s">
        <v>717</v>
      </c>
      <c r="X57" s="49" t="s">
        <v>717</v>
      </c>
      <c r="Y57" s="50" t="s">
        <v>717</v>
      </c>
      <c r="Z57" s="51" t="s">
        <v>717</v>
      </c>
      <c r="AA57" s="53" t="s">
        <v>717</v>
      </c>
      <c r="AB57" s="54" t="s">
        <v>717</v>
      </c>
      <c r="AC57" s="55" t="s">
        <v>717</v>
      </c>
      <c r="AD57" s="56" t="s">
        <v>717</v>
      </c>
      <c r="AE57" s="58" t="s">
        <v>717</v>
      </c>
      <c r="AF57" s="59" t="s">
        <v>717</v>
      </c>
      <c r="AG57" s="60" t="s">
        <v>717</v>
      </c>
      <c r="AH57" s="61" t="s">
        <v>717</v>
      </c>
      <c r="AI57" s="64">
        <v>3</v>
      </c>
      <c r="AJ57" s="66"/>
      <c r="AK57" s="22" t="s">
        <v>717</v>
      </c>
      <c r="AL57" s="23"/>
      <c r="AM57" s="23" t="s">
        <v>698</v>
      </c>
    </row>
    <row r="58" spans="1:41" s="3" customFormat="1" ht="14.5" x14ac:dyDescent="0.35">
      <c r="A58" s="24">
        <v>52</v>
      </c>
      <c r="B58" s="11" t="s">
        <v>5</v>
      </c>
      <c r="C58" s="11" t="s">
        <v>472</v>
      </c>
      <c r="D58" s="11">
        <v>119352</v>
      </c>
      <c r="E58" s="11">
        <v>48176</v>
      </c>
      <c r="F58" s="20" t="s">
        <v>560</v>
      </c>
      <c r="G58" s="20" t="s">
        <v>739</v>
      </c>
      <c r="H58" s="6">
        <v>28.311419999999998</v>
      </c>
      <c r="I58" s="6">
        <v>70.097210000000004</v>
      </c>
      <c r="J58" s="12" t="s">
        <v>102</v>
      </c>
      <c r="K58" s="11" t="s">
        <v>91</v>
      </c>
      <c r="L58" s="11" t="s">
        <v>433</v>
      </c>
      <c r="M58" s="11" t="s">
        <v>473</v>
      </c>
      <c r="N58" s="39">
        <f t="shared" si="0"/>
        <v>5</v>
      </c>
      <c r="O58" s="41" t="s">
        <v>717</v>
      </c>
      <c r="P58" s="42" t="s">
        <v>717</v>
      </c>
      <c r="Q58" s="43" t="s">
        <v>717</v>
      </c>
      <c r="R58" s="44" t="s">
        <v>717</v>
      </c>
      <c r="S58" s="46" t="s">
        <v>588</v>
      </c>
      <c r="T58" s="46">
        <v>2</v>
      </c>
      <c r="U58" s="46">
        <v>3</v>
      </c>
      <c r="V58" s="46">
        <v>0</v>
      </c>
      <c r="W58" s="48" t="s">
        <v>717</v>
      </c>
      <c r="X58" s="49" t="s">
        <v>717</v>
      </c>
      <c r="Y58" s="50" t="s">
        <v>717</v>
      </c>
      <c r="Z58" s="51" t="s">
        <v>717</v>
      </c>
      <c r="AA58" s="53" t="s">
        <v>717</v>
      </c>
      <c r="AB58" s="54" t="s">
        <v>717</v>
      </c>
      <c r="AC58" s="55" t="s">
        <v>717</v>
      </c>
      <c r="AD58" s="56" t="s">
        <v>717</v>
      </c>
      <c r="AE58" s="58" t="s">
        <v>717</v>
      </c>
      <c r="AF58" s="59" t="s">
        <v>717</v>
      </c>
      <c r="AG58" s="60" t="s">
        <v>717</v>
      </c>
      <c r="AH58" s="61" t="s">
        <v>717</v>
      </c>
      <c r="AI58" s="64"/>
      <c r="AJ58" s="66"/>
      <c r="AK58" s="22" t="s">
        <v>717</v>
      </c>
      <c r="AL58" s="23"/>
      <c r="AM58" s="23"/>
    </row>
    <row r="59" spans="1:41" s="3" customFormat="1" ht="14.5" x14ac:dyDescent="0.35">
      <c r="A59" s="24">
        <v>53</v>
      </c>
      <c r="B59" s="11" t="s">
        <v>5</v>
      </c>
      <c r="C59" s="11" t="s">
        <v>370</v>
      </c>
      <c r="D59" s="11">
        <v>116085</v>
      </c>
      <c r="E59" s="11">
        <v>48178</v>
      </c>
      <c r="F59" s="20" t="s">
        <v>560</v>
      </c>
      <c r="G59" s="20" t="s">
        <v>740</v>
      </c>
      <c r="H59" s="6">
        <v>28.310849999999999</v>
      </c>
      <c r="I59" s="6">
        <v>70.126109999999997</v>
      </c>
      <c r="J59" s="12" t="s">
        <v>91</v>
      </c>
      <c r="K59" s="11" t="s">
        <v>91</v>
      </c>
      <c r="L59" s="11" t="s">
        <v>433</v>
      </c>
      <c r="M59" s="11" t="s">
        <v>371</v>
      </c>
      <c r="N59" s="39">
        <f t="shared" si="0"/>
        <v>3</v>
      </c>
      <c r="O59" s="41" t="s">
        <v>592</v>
      </c>
      <c r="P59" s="42">
        <v>0</v>
      </c>
      <c r="Q59" s="43">
        <v>3</v>
      </c>
      <c r="R59" s="44">
        <v>0</v>
      </c>
      <c r="S59" s="46" t="s">
        <v>717</v>
      </c>
      <c r="T59" s="46" t="s">
        <v>717</v>
      </c>
      <c r="U59" s="46" t="s">
        <v>717</v>
      </c>
      <c r="V59" s="46" t="s">
        <v>717</v>
      </c>
      <c r="W59" s="48" t="s">
        <v>717</v>
      </c>
      <c r="X59" s="49" t="s">
        <v>717</v>
      </c>
      <c r="Y59" s="50" t="s">
        <v>717</v>
      </c>
      <c r="Z59" s="51" t="s">
        <v>717</v>
      </c>
      <c r="AA59" s="53" t="s">
        <v>717</v>
      </c>
      <c r="AB59" s="54" t="s">
        <v>717</v>
      </c>
      <c r="AC59" s="55" t="s">
        <v>717</v>
      </c>
      <c r="AD59" s="56" t="s">
        <v>717</v>
      </c>
      <c r="AE59" s="58" t="s">
        <v>717</v>
      </c>
      <c r="AF59" s="59" t="s">
        <v>717</v>
      </c>
      <c r="AG59" s="60" t="s">
        <v>717</v>
      </c>
      <c r="AH59" s="61" t="s">
        <v>717</v>
      </c>
      <c r="AI59" s="64"/>
      <c r="AJ59" s="66"/>
      <c r="AK59" s="22">
        <v>3</v>
      </c>
      <c r="AL59" s="23"/>
      <c r="AM59" s="23"/>
      <c r="AN59" s="123">
        <f>N59-AK59</f>
        <v>0</v>
      </c>
    </row>
    <row r="60" spans="1:41" s="3" customFormat="1" ht="14.5" x14ac:dyDescent="0.35">
      <c r="A60" s="24">
        <v>54</v>
      </c>
      <c r="B60" s="11" t="s">
        <v>5</v>
      </c>
      <c r="C60" s="11" t="s">
        <v>103</v>
      </c>
      <c r="D60" s="11">
        <v>102369</v>
      </c>
      <c r="E60" s="11">
        <v>48179</v>
      </c>
      <c r="F60" s="20" t="s">
        <v>560</v>
      </c>
      <c r="G60" s="20" t="s">
        <v>738</v>
      </c>
      <c r="H60" s="6">
        <v>28.862359999999999</v>
      </c>
      <c r="I60" s="6">
        <v>70.608810000000005</v>
      </c>
      <c r="J60" s="12" t="s">
        <v>13</v>
      </c>
      <c r="K60" s="11" t="s">
        <v>91</v>
      </c>
      <c r="L60" s="11" t="s">
        <v>433</v>
      </c>
      <c r="M60" s="11" t="s">
        <v>251</v>
      </c>
      <c r="N60" s="39">
        <f t="shared" si="0"/>
        <v>4</v>
      </c>
      <c r="O60" s="41" t="s">
        <v>598</v>
      </c>
      <c r="P60" s="42">
        <v>0</v>
      </c>
      <c r="Q60" s="43">
        <v>4</v>
      </c>
      <c r="R60" s="44">
        <v>0</v>
      </c>
      <c r="S60" s="46" t="s">
        <v>717</v>
      </c>
      <c r="T60" s="46" t="s">
        <v>717</v>
      </c>
      <c r="U60" s="46" t="s">
        <v>717</v>
      </c>
      <c r="V60" s="46" t="s">
        <v>717</v>
      </c>
      <c r="W60" s="48" t="s">
        <v>717</v>
      </c>
      <c r="X60" s="49" t="s">
        <v>717</v>
      </c>
      <c r="Y60" s="50" t="s">
        <v>717</v>
      </c>
      <c r="Z60" s="51" t="s">
        <v>717</v>
      </c>
      <c r="AA60" s="53" t="s">
        <v>717</v>
      </c>
      <c r="AB60" s="54" t="s">
        <v>717</v>
      </c>
      <c r="AC60" s="55" t="s">
        <v>717</v>
      </c>
      <c r="AD60" s="56" t="s">
        <v>717</v>
      </c>
      <c r="AE60" s="58" t="s">
        <v>717</v>
      </c>
      <c r="AF60" s="59" t="s">
        <v>717</v>
      </c>
      <c r="AG60" s="60" t="s">
        <v>717</v>
      </c>
      <c r="AH60" s="61" t="s">
        <v>717</v>
      </c>
      <c r="AI60" s="64"/>
      <c r="AJ60" s="66"/>
      <c r="AK60" s="22">
        <v>4</v>
      </c>
      <c r="AL60" s="23"/>
      <c r="AM60" s="23"/>
      <c r="AN60" s="123">
        <f>N60-AK60</f>
        <v>0</v>
      </c>
    </row>
    <row r="61" spans="1:41" s="3" customFormat="1" ht="14.5" x14ac:dyDescent="0.35">
      <c r="A61" s="24">
        <v>55</v>
      </c>
      <c r="B61" s="11" t="s">
        <v>5</v>
      </c>
      <c r="C61" s="11" t="s">
        <v>12</v>
      </c>
      <c r="D61" s="17">
        <v>117724</v>
      </c>
      <c r="E61" s="11">
        <v>48180</v>
      </c>
      <c r="F61" s="20" t="s">
        <v>560</v>
      </c>
      <c r="G61" s="20" t="s">
        <v>738</v>
      </c>
      <c r="H61" s="6">
        <v>28.896460000000001</v>
      </c>
      <c r="I61" s="6">
        <v>70.662739999999999</v>
      </c>
      <c r="J61" s="12" t="s">
        <v>13</v>
      </c>
      <c r="K61" s="11" t="s">
        <v>6</v>
      </c>
      <c r="L61" s="11" t="s">
        <v>433</v>
      </c>
      <c r="M61" s="11" t="s">
        <v>425</v>
      </c>
      <c r="N61" s="39">
        <f t="shared" si="0"/>
        <v>5</v>
      </c>
      <c r="O61" s="41" t="s">
        <v>593</v>
      </c>
      <c r="P61" s="42" t="s">
        <v>717</v>
      </c>
      <c r="Q61" s="43">
        <v>4</v>
      </c>
      <c r="R61" s="44" t="s">
        <v>717</v>
      </c>
      <c r="S61" s="46" t="s">
        <v>587</v>
      </c>
      <c r="T61" s="46" t="s">
        <v>717</v>
      </c>
      <c r="U61" s="46">
        <v>1</v>
      </c>
      <c r="V61" s="46" t="s">
        <v>717</v>
      </c>
      <c r="W61" s="48" t="s">
        <v>717</v>
      </c>
      <c r="X61" s="49" t="s">
        <v>717</v>
      </c>
      <c r="Y61" s="50" t="s">
        <v>717</v>
      </c>
      <c r="Z61" s="51" t="s">
        <v>717</v>
      </c>
      <c r="AA61" s="53" t="s">
        <v>717</v>
      </c>
      <c r="AB61" s="54" t="s">
        <v>717</v>
      </c>
      <c r="AC61" s="55" t="s">
        <v>717</v>
      </c>
      <c r="AD61" s="56" t="s">
        <v>717</v>
      </c>
      <c r="AE61" s="58" t="s">
        <v>717</v>
      </c>
      <c r="AF61" s="59" t="s">
        <v>717</v>
      </c>
      <c r="AG61" s="60" t="s">
        <v>717</v>
      </c>
      <c r="AH61" s="61" t="s">
        <v>717</v>
      </c>
      <c r="AI61" s="64"/>
      <c r="AJ61" s="66"/>
      <c r="AK61" s="36">
        <v>4</v>
      </c>
      <c r="AL61" s="23"/>
      <c r="AM61" s="23"/>
      <c r="AN61" s="123">
        <f>N61-AK61</f>
        <v>1</v>
      </c>
      <c r="AO61" s="31">
        <f>SUM(P61:R61)-AK61</f>
        <v>0</v>
      </c>
    </row>
    <row r="62" spans="1:41" s="3" customFormat="1" ht="14.5" x14ac:dyDescent="0.35">
      <c r="A62" s="24">
        <v>56</v>
      </c>
      <c r="B62" s="11" t="s">
        <v>5</v>
      </c>
      <c r="C62" s="14" t="s">
        <v>477</v>
      </c>
      <c r="D62" s="11">
        <v>116470</v>
      </c>
      <c r="E62" s="11">
        <v>48182</v>
      </c>
      <c r="F62" s="20" t="s">
        <v>560</v>
      </c>
      <c r="G62" s="20" t="s">
        <v>738</v>
      </c>
      <c r="H62" s="6">
        <v>28.651209999999999</v>
      </c>
      <c r="I62" s="6">
        <v>70.688910000000007</v>
      </c>
      <c r="J62" s="12" t="s">
        <v>408</v>
      </c>
      <c r="K62" s="11" t="s">
        <v>91</v>
      </c>
      <c r="L62" s="11" t="s">
        <v>433</v>
      </c>
      <c r="M62" s="11" t="s">
        <v>284</v>
      </c>
      <c r="N62" s="39">
        <f t="shared" si="0"/>
        <v>4</v>
      </c>
      <c r="O62" s="41" t="s">
        <v>592</v>
      </c>
      <c r="P62" s="42">
        <v>0</v>
      </c>
      <c r="Q62" s="43">
        <v>3</v>
      </c>
      <c r="R62" s="44">
        <v>0</v>
      </c>
      <c r="S62" s="46" t="s">
        <v>717</v>
      </c>
      <c r="T62" s="46" t="s">
        <v>717</v>
      </c>
      <c r="U62" s="46" t="s">
        <v>717</v>
      </c>
      <c r="V62" s="46" t="s">
        <v>717</v>
      </c>
      <c r="W62" s="48" t="s">
        <v>717</v>
      </c>
      <c r="X62" s="49" t="s">
        <v>717</v>
      </c>
      <c r="Y62" s="50" t="s">
        <v>717</v>
      </c>
      <c r="Z62" s="51" t="s">
        <v>717</v>
      </c>
      <c r="AA62" s="53" t="s">
        <v>717</v>
      </c>
      <c r="AB62" s="54" t="s">
        <v>717</v>
      </c>
      <c r="AC62" s="55" t="s">
        <v>717</v>
      </c>
      <c r="AD62" s="56" t="s">
        <v>717</v>
      </c>
      <c r="AE62" s="58" t="s">
        <v>717</v>
      </c>
      <c r="AF62" s="59" t="s">
        <v>717</v>
      </c>
      <c r="AG62" s="60" t="s">
        <v>717</v>
      </c>
      <c r="AH62" s="61" t="s">
        <v>717</v>
      </c>
      <c r="AI62" s="64">
        <v>1</v>
      </c>
      <c r="AJ62" s="66"/>
      <c r="AK62" s="22" t="s">
        <v>717</v>
      </c>
      <c r="AL62" s="23"/>
      <c r="AM62" s="23" t="s">
        <v>678</v>
      </c>
    </row>
    <row r="63" spans="1:41" s="3" customFormat="1" ht="14.5" x14ac:dyDescent="0.35">
      <c r="A63" s="24">
        <v>57</v>
      </c>
      <c r="B63" s="11" t="s">
        <v>5</v>
      </c>
      <c r="C63" s="11" t="s">
        <v>126</v>
      </c>
      <c r="D63" s="11">
        <v>102401</v>
      </c>
      <c r="E63" s="11">
        <v>48183</v>
      </c>
      <c r="F63" s="20" t="s">
        <v>560</v>
      </c>
      <c r="G63" s="20" t="s">
        <v>738</v>
      </c>
      <c r="H63" s="6">
        <v>28.7287</v>
      </c>
      <c r="I63" s="6">
        <v>70.453999999999994</v>
      </c>
      <c r="J63" s="12" t="s">
        <v>13</v>
      </c>
      <c r="K63" s="11" t="s">
        <v>91</v>
      </c>
      <c r="L63" s="11" t="s">
        <v>433</v>
      </c>
      <c r="M63" s="11" t="s">
        <v>279</v>
      </c>
      <c r="N63" s="39">
        <f t="shared" si="0"/>
        <v>4</v>
      </c>
      <c r="O63" s="41" t="s">
        <v>717</v>
      </c>
      <c r="P63" s="42" t="s">
        <v>717</v>
      </c>
      <c r="Q63" s="43" t="s">
        <v>717</v>
      </c>
      <c r="R63" s="44" t="s">
        <v>717</v>
      </c>
      <c r="S63" s="46" t="s">
        <v>584</v>
      </c>
      <c r="T63" s="46">
        <v>1</v>
      </c>
      <c r="U63" s="46">
        <v>3</v>
      </c>
      <c r="V63" s="46">
        <v>0</v>
      </c>
      <c r="W63" s="48" t="s">
        <v>717</v>
      </c>
      <c r="X63" s="49" t="s">
        <v>717</v>
      </c>
      <c r="Y63" s="50" t="s">
        <v>717</v>
      </c>
      <c r="Z63" s="51" t="s">
        <v>717</v>
      </c>
      <c r="AA63" s="53" t="s">
        <v>717</v>
      </c>
      <c r="AB63" s="54" t="s">
        <v>717</v>
      </c>
      <c r="AC63" s="55" t="s">
        <v>717</v>
      </c>
      <c r="AD63" s="56" t="s">
        <v>717</v>
      </c>
      <c r="AE63" s="58" t="s">
        <v>717</v>
      </c>
      <c r="AF63" s="59" t="s">
        <v>717</v>
      </c>
      <c r="AG63" s="60" t="s">
        <v>717</v>
      </c>
      <c r="AH63" s="61" t="s">
        <v>717</v>
      </c>
      <c r="AI63" s="64"/>
      <c r="AJ63" s="66"/>
      <c r="AK63" s="22" t="s">
        <v>717</v>
      </c>
      <c r="AL63" s="23"/>
      <c r="AM63" s="23"/>
    </row>
    <row r="64" spans="1:41" s="3" customFormat="1" ht="14.5" x14ac:dyDescent="0.35">
      <c r="A64" s="24">
        <v>58</v>
      </c>
      <c r="B64" s="11" t="s">
        <v>5</v>
      </c>
      <c r="C64" s="11" t="s">
        <v>118</v>
      </c>
      <c r="D64" s="11">
        <v>102456</v>
      </c>
      <c r="E64" s="11">
        <v>48184</v>
      </c>
      <c r="F64" s="20" t="s">
        <v>560</v>
      </c>
      <c r="G64" s="20" t="s">
        <v>738</v>
      </c>
      <c r="H64" s="6">
        <v>28.947558999999998</v>
      </c>
      <c r="I64" s="6">
        <v>70.943872999999996</v>
      </c>
      <c r="J64" s="12" t="s">
        <v>13</v>
      </c>
      <c r="K64" s="11" t="s">
        <v>91</v>
      </c>
      <c r="L64" s="11" t="s">
        <v>433</v>
      </c>
      <c r="M64" s="11" t="s">
        <v>267</v>
      </c>
      <c r="N64" s="39">
        <f t="shared" si="0"/>
        <v>5</v>
      </c>
      <c r="O64" s="41" t="s">
        <v>717</v>
      </c>
      <c r="P64" s="42" t="s">
        <v>717</v>
      </c>
      <c r="Q64" s="43" t="s">
        <v>717</v>
      </c>
      <c r="R64" s="44" t="s">
        <v>717</v>
      </c>
      <c r="S64" s="46" t="s">
        <v>589</v>
      </c>
      <c r="T64" s="46">
        <v>0</v>
      </c>
      <c r="U64" s="46">
        <v>5</v>
      </c>
      <c r="V64" s="46">
        <v>0</v>
      </c>
      <c r="W64" s="48" t="s">
        <v>717</v>
      </c>
      <c r="X64" s="49" t="s">
        <v>717</v>
      </c>
      <c r="Y64" s="50" t="s">
        <v>717</v>
      </c>
      <c r="Z64" s="51" t="s">
        <v>717</v>
      </c>
      <c r="AA64" s="53" t="s">
        <v>717</v>
      </c>
      <c r="AB64" s="54" t="s">
        <v>717</v>
      </c>
      <c r="AC64" s="55" t="s">
        <v>717</v>
      </c>
      <c r="AD64" s="56" t="s">
        <v>717</v>
      </c>
      <c r="AE64" s="58" t="s">
        <v>717</v>
      </c>
      <c r="AF64" s="59" t="s">
        <v>717</v>
      </c>
      <c r="AG64" s="60" t="s">
        <v>717</v>
      </c>
      <c r="AH64" s="61" t="s">
        <v>717</v>
      </c>
      <c r="AI64" s="64"/>
      <c r="AJ64" s="66"/>
      <c r="AK64" s="22" t="s">
        <v>717</v>
      </c>
      <c r="AL64" s="23"/>
      <c r="AM64" s="23"/>
    </row>
    <row r="65" spans="1:40" s="3" customFormat="1" ht="14.5" x14ac:dyDescent="0.35">
      <c r="A65" s="24">
        <v>59</v>
      </c>
      <c r="B65" s="11" t="s">
        <v>5</v>
      </c>
      <c r="C65" s="11" t="s">
        <v>111</v>
      </c>
      <c r="D65" s="11">
        <v>102489</v>
      </c>
      <c r="E65" s="11">
        <v>48185</v>
      </c>
      <c r="F65" s="20" t="s">
        <v>560</v>
      </c>
      <c r="G65" s="20" t="s">
        <v>738</v>
      </c>
      <c r="H65" s="6">
        <v>28.641829999999999</v>
      </c>
      <c r="I65" s="6">
        <v>70.639790000000005</v>
      </c>
      <c r="J65" s="12" t="s">
        <v>13</v>
      </c>
      <c r="K65" s="11" t="s">
        <v>91</v>
      </c>
      <c r="L65" s="11" t="s">
        <v>433</v>
      </c>
      <c r="M65" s="11" t="s">
        <v>259</v>
      </c>
      <c r="N65" s="39">
        <f t="shared" si="0"/>
        <v>3</v>
      </c>
      <c r="O65" s="41" t="s">
        <v>717</v>
      </c>
      <c r="P65" s="42" t="s">
        <v>717</v>
      </c>
      <c r="Q65" s="43" t="s">
        <v>717</v>
      </c>
      <c r="R65" s="44" t="s">
        <v>717</v>
      </c>
      <c r="S65" s="46" t="s">
        <v>590</v>
      </c>
      <c r="T65" s="46">
        <v>0</v>
      </c>
      <c r="U65" s="46">
        <v>3</v>
      </c>
      <c r="V65" s="46">
        <v>0</v>
      </c>
      <c r="W65" s="48" t="s">
        <v>717</v>
      </c>
      <c r="X65" s="49" t="s">
        <v>717</v>
      </c>
      <c r="Y65" s="50" t="s">
        <v>717</v>
      </c>
      <c r="Z65" s="51" t="s">
        <v>717</v>
      </c>
      <c r="AA65" s="53" t="s">
        <v>717</v>
      </c>
      <c r="AB65" s="54" t="s">
        <v>717</v>
      </c>
      <c r="AC65" s="55" t="s">
        <v>717</v>
      </c>
      <c r="AD65" s="56" t="s">
        <v>717</v>
      </c>
      <c r="AE65" s="58" t="s">
        <v>717</v>
      </c>
      <c r="AF65" s="59" t="s">
        <v>717</v>
      </c>
      <c r="AG65" s="60" t="s">
        <v>717</v>
      </c>
      <c r="AH65" s="61" t="s">
        <v>717</v>
      </c>
      <c r="AI65" s="64"/>
      <c r="AJ65" s="66"/>
      <c r="AK65" s="22" t="s">
        <v>717</v>
      </c>
      <c r="AL65" s="23"/>
      <c r="AM65" s="23"/>
    </row>
    <row r="66" spans="1:40" s="3" customFormat="1" ht="14.5" x14ac:dyDescent="0.35">
      <c r="A66" s="24">
        <v>60</v>
      </c>
      <c r="B66" s="11" t="s">
        <v>5</v>
      </c>
      <c r="C66" s="14" t="s">
        <v>122</v>
      </c>
      <c r="D66" s="11">
        <v>119467</v>
      </c>
      <c r="E66" s="11">
        <v>48186</v>
      </c>
      <c r="F66" s="20" t="s">
        <v>559</v>
      </c>
      <c r="G66" s="20" t="s">
        <v>739</v>
      </c>
      <c r="H66" s="6">
        <v>28.810569999999998</v>
      </c>
      <c r="I66" s="6">
        <v>70.847359999999995</v>
      </c>
      <c r="J66" s="12" t="s">
        <v>524</v>
      </c>
      <c r="K66" s="11" t="s">
        <v>91</v>
      </c>
      <c r="L66" s="11" t="s">
        <v>433</v>
      </c>
      <c r="M66" s="11" t="s">
        <v>525</v>
      </c>
      <c r="N66" s="39">
        <f t="shared" si="0"/>
        <v>3</v>
      </c>
      <c r="O66" s="41" t="s">
        <v>717</v>
      </c>
      <c r="P66" s="42" t="s">
        <v>717</v>
      </c>
      <c r="Q66" s="43" t="s">
        <v>717</v>
      </c>
      <c r="R66" s="44" t="s">
        <v>717</v>
      </c>
      <c r="S66" s="46" t="s">
        <v>717</v>
      </c>
      <c r="T66" s="46" t="s">
        <v>717</v>
      </c>
      <c r="U66" s="46" t="s">
        <v>717</v>
      </c>
      <c r="V66" s="46" t="s">
        <v>717</v>
      </c>
      <c r="W66" s="48" t="s">
        <v>717</v>
      </c>
      <c r="X66" s="49" t="s">
        <v>717</v>
      </c>
      <c r="Y66" s="50" t="s">
        <v>717</v>
      </c>
      <c r="Z66" s="51" t="s">
        <v>717</v>
      </c>
      <c r="AA66" s="53" t="s">
        <v>717</v>
      </c>
      <c r="AB66" s="54" t="s">
        <v>717</v>
      </c>
      <c r="AC66" s="55" t="s">
        <v>717</v>
      </c>
      <c r="AD66" s="56" t="s">
        <v>717</v>
      </c>
      <c r="AE66" s="58" t="s">
        <v>717</v>
      </c>
      <c r="AF66" s="59" t="s">
        <v>717</v>
      </c>
      <c r="AG66" s="60" t="s">
        <v>717</v>
      </c>
      <c r="AH66" s="61" t="s">
        <v>717</v>
      </c>
      <c r="AI66" s="64">
        <v>3</v>
      </c>
      <c r="AJ66" s="66"/>
      <c r="AK66" s="22" t="s">
        <v>717</v>
      </c>
      <c r="AL66" s="23"/>
      <c r="AM66" s="23" t="s">
        <v>699</v>
      </c>
    </row>
    <row r="67" spans="1:40" s="3" customFormat="1" ht="14.5" x14ac:dyDescent="0.35">
      <c r="A67" s="24">
        <v>61</v>
      </c>
      <c r="B67" s="11" t="s">
        <v>5</v>
      </c>
      <c r="C67" s="14" t="s">
        <v>518</v>
      </c>
      <c r="D67" s="11">
        <v>118172</v>
      </c>
      <c r="E67" s="11">
        <v>48187</v>
      </c>
      <c r="F67" s="20" t="s">
        <v>559</v>
      </c>
      <c r="G67" s="20" t="s">
        <v>739</v>
      </c>
      <c r="H67" s="6">
        <v>28.53425</v>
      </c>
      <c r="I67" s="6">
        <v>70.63006</v>
      </c>
      <c r="J67" s="12" t="s">
        <v>13</v>
      </c>
      <c r="K67" s="11" t="s">
        <v>6</v>
      </c>
      <c r="L67" s="11" t="s">
        <v>433</v>
      </c>
      <c r="M67" s="11" t="s">
        <v>434</v>
      </c>
      <c r="N67" s="39">
        <f t="shared" si="0"/>
        <v>3</v>
      </c>
      <c r="O67" s="41" t="s">
        <v>717</v>
      </c>
      <c r="P67" s="42" t="s">
        <v>717</v>
      </c>
      <c r="Q67" s="43" t="s">
        <v>717</v>
      </c>
      <c r="R67" s="44" t="s">
        <v>717</v>
      </c>
      <c r="S67" s="46" t="s">
        <v>717</v>
      </c>
      <c r="T67" s="46" t="s">
        <v>717</v>
      </c>
      <c r="U67" s="46" t="s">
        <v>717</v>
      </c>
      <c r="V67" s="46" t="s">
        <v>717</v>
      </c>
      <c r="W67" s="48" t="s">
        <v>717</v>
      </c>
      <c r="X67" s="49" t="s">
        <v>717</v>
      </c>
      <c r="Y67" s="50" t="s">
        <v>717</v>
      </c>
      <c r="Z67" s="51" t="s">
        <v>717</v>
      </c>
      <c r="AA67" s="53" t="s">
        <v>717</v>
      </c>
      <c r="AB67" s="54" t="s">
        <v>717</v>
      </c>
      <c r="AC67" s="55" t="s">
        <v>717</v>
      </c>
      <c r="AD67" s="56" t="s">
        <v>717</v>
      </c>
      <c r="AE67" s="58" t="s">
        <v>717</v>
      </c>
      <c r="AF67" s="59" t="s">
        <v>717</v>
      </c>
      <c r="AG67" s="60" t="s">
        <v>717</v>
      </c>
      <c r="AH67" s="61" t="s">
        <v>717</v>
      </c>
      <c r="AI67" s="64">
        <v>3</v>
      </c>
      <c r="AJ67" s="66"/>
      <c r="AK67" s="22" t="s">
        <v>717</v>
      </c>
      <c r="AL67" s="23"/>
      <c r="AM67" s="23" t="s">
        <v>667</v>
      </c>
    </row>
    <row r="68" spans="1:40" s="3" customFormat="1" ht="14.5" x14ac:dyDescent="0.35">
      <c r="A68" s="24">
        <v>62</v>
      </c>
      <c r="B68" s="11" t="s">
        <v>5</v>
      </c>
      <c r="C68" s="14" t="s">
        <v>113</v>
      </c>
      <c r="D68" s="11">
        <v>102033</v>
      </c>
      <c r="E68" s="11">
        <v>48188</v>
      </c>
      <c r="F68" s="20" t="s">
        <v>559</v>
      </c>
      <c r="G68" s="20" t="s">
        <v>739</v>
      </c>
      <c r="H68" s="6">
        <v>28.84442</v>
      </c>
      <c r="I68" s="6">
        <v>70.586010000000002</v>
      </c>
      <c r="J68" s="12" t="s">
        <v>13</v>
      </c>
      <c r="K68" s="11" t="s">
        <v>91</v>
      </c>
      <c r="L68" s="11" t="s">
        <v>433</v>
      </c>
      <c r="M68" s="11" t="s">
        <v>261</v>
      </c>
      <c r="N68" s="39">
        <f t="shared" si="0"/>
        <v>5</v>
      </c>
      <c r="O68" s="41" t="s">
        <v>717</v>
      </c>
      <c r="P68" s="42" t="s">
        <v>717</v>
      </c>
      <c r="Q68" s="43" t="s">
        <v>717</v>
      </c>
      <c r="R68" s="44" t="s">
        <v>717</v>
      </c>
      <c r="S68" s="46" t="s">
        <v>717</v>
      </c>
      <c r="T68" s="46" t="s">
        <v>717</v>
      </c>
      <c r="U68" s="46" t="s">
        <v>717</v>
      </c>
      <c r="V68" s="46" t="s">
        <v>717</v>
      </c>
      <c r="W68" s="48" t="s">
        <v>717</v>
      </c>
      <c r="X68" s="49" t="s">
        <v>717</v>
      </c>
      <c r="Y68" s="50" t="s">
        <v>717</v>
      </c>
      <c r="Z68" s="51" t="s">
        <v>717</v>
      </c>
      <c r="AA68" s="53" t="s">
        <v>717</v>
      </c>
      <c r="AB68" s="54" t="s">
        <v>717</v>
      </c>
      <c r="AC68" s="55" t="s">
        <v>717</v>
      </c>
      <c r="AD68" s="56" t="s">
        <v>717</v>
      </c>
      <c r="AE68" s="58" t="s">
        <v>717</v>
      </c>
      <c r="AF68" s="59" t="s">
        <v>717</v>
      </c>
      <c r="AG68" s="60" t="s">
        <v>717</v>
      </c>
      <c r="AH68" s="61" t="s">
        <v>717</v>
      </c>
      <c r="AI68" s="64">
        <v>5</v>
      </c>
      <c r="AJ68" s="66"/>
      <c r="AK68" s="22" t="s">
        <v>717</v>
      </c>
      <c r="AL68" s="23"/>
      <c r="AM68" s="23" t="s">
        <v>671</v>
      </c>
    </row>
    <row r="69" spans="1:40" s="3" customFormat="1" ht="14.5" x14ac:dyDescent="0.35">
      <c r="A69" s="24">
        <v>63</v>
      </c>
      <c r="B69" s="11" t="s">
        <v>5</v>
      </c>
      <c r="C69" s="11" t="s">
        <v>109</v>
      </c>
      <c r="D69" s="11">
        <v>102087</v>
      </c>
      <c r="E69" s="11">
        <v>48189</v>
      </c>
      <c r="F69" s="20" t="s">
        <v>560</v>
      </c>
      <c r="G69" s="20" t="s">
        <v>739</v>
      </c>
      <c r="H69" s="6">
        <v>29.081160000000001</v>
      </c>
      <c r="I69" s="6">
        <v>70.884529999999998</v>
      </c>
      <c r="J69" s="12" t="s">
        <v>13</v>
      </c>
      <c r="K69" s="11" t="s">
        <v>91</v>
      </c>
      <c r="L69" s="11" t="s">
        <v>433</v>
      </c>
      <c r="M69" s="11" t="s">
        <v>257</v>
      </c>
      <c r="N69" s="39">
        <f t="shared" si="0"/>
        <v>4</v>
      </c>
      <c r="O69" s="41" t="s">
        <v>598</v>
      </c>
      <c r="P69" s="42">
        <v>0</v>
      </c>
      <c r="Q69" s="43">
        <v>4</v>
      </c>
      <c r="R69" s="44">
        <v>0</v>
      </c>
      <c r="S69" s="46" t="s">
        <v>717</v>
      </c>
      <c r="T69" s="46" t="s">
        <v>717</v>
      </c>
      <c r="U69" s="46" t="s">
        <v>717</v>
      </c>
      <c r="V69" s="46" t="s">
        <v>717</v>
      </c>
      <c r="W69" s="48" t="s">
        <v>717</v>
      </c>
      <c r="X69" s="49" t="s">
        <v>717</v>
      </c>
      <c r="Y69" s="50" t="s">
        <v>717</v>
      </c>
      <c r="Z69" s="51" t="s">
        <v>717</v>
      </c>
      <c r="AA69" s="53" t="s">
        <v>717</v>
      </c>
      <c r="AB69" s="54" t="s">
        <v>717</v>
      </c>
      <c r="AC69" s="55" t="s">
        <v>717</v>
      </c>
      <c r="AD69" s="56" t="s">
        <v>717</v>
      </c>
      <c r="AE69" s="58" t="s">
        <v>717</v>
      </c>
      <c r="AF69" s="59" t="s">
        <v>717</v>
      </c>
      <c r="AG69" s="60" t="s">
        <v>717</v>
      </c>
      <c r="AH69" s="61" t="s">
        <v>717</v>
      </c>
      <c r="AI69" s="64"/>
      <c r="AJ69" s="66"/>
      <c r="AK69" s="22">
        <v>4</v>
      </c>
      <c r="AL69" s="23"/>
      <c r="AM69" s="23"/>
      <c r="AN69" s="123">
        <f>N69-AK69</f>
        <v>0</v>
      </c>
    </row>
    <row r="70" spans="1:40" s="3" customFormat="1" ht="14.5" x14ac:dyDescent="0.35">
      <c r="A70" s="24">
        <v>64</v>
      </c>
      <c r="B70" s="11" t="s">
        <v>5</v>
      </c>
      <c r="C70" s="11" t="s">
        <v>503</v>
      </c>
      <c r="D70" s="11">
        <v>111340</v>
      </c>
      <c r="E70" s="11">
        <v>48190</v>
      </c>
      <c r="F70" s="20" t="s">
        <v>560</v>
      </c>
      <c r="G70" s="20" t="s">
        <v>739</v>
      </c>
      <c r="H70" s="6">
        <v>28.751719999999999</v>
      </c>
      <c r="I70" s="6">
        <v>70.478309999999993</v>
      </c>
      <c r="J70" s="12" t="s">
        <v>408</v>
      </c>
      <c r="K70" s="11" t="s">
        <v>91</v>
      </c>
      <c r="L70" s="11" t="s">
        <v>433</v>
      </c>
      <c r="M70" s="11" t="s">
        <v>194</v>
      </c>
      <c r="N70" s="39">
        <f t="shared" si="0"/>
        <v>4</v>
      </c>
      <c r="O70" s="41" t="s">
        <v>717</v>
      </c>
      <c r="P70" s="42" t="s">
        <v>717</v>
      </c>
      <c r="Q70" s="43" t="s">
        <v>717</v>
      </c>
      <c r="R70" s="44" t="s">
        <v>717</v>
      </c>
      <c r="S70" s="46" t="s">
        <v>583</v>
      </c>
      <c r="T70" s="46">
        <v>0</v>
      </c>
      <c r="U70" s="46">
        <v>4</v>
      </c>
      <c r="V70" s="46">
        <v>0</v>
      </c>
      <c r="W70" s="48" t="s">
        <v>717</v>
      </c>
      <c r="X70" s="49" t="s">
        <v>717</v>
      </c>
      <c r="Y70" s="50" t="s">
        <v>717</v>
      </c>
      <c r="Z70" s="51" t="s">
        <v>717</v>
      </c>
      <c r="AA70" s="53" t="s">
        <v>717</v>
      </c>
      <c r="AB70" s="54" t="s">
        <v>717</v>
      </c>
      <c r="AC70" s="55" t="s">
        <v>717</v>
      </c>
      <c r="AD70" s="56" t="s">
        <v>717</v>
      </c>
      <c r="AE70" s="58" t="s">
        <v>717</v>
      </c>
      <c r="AF70" s="59" t="s">
        <v>717</v>
      </c>
      <c r="AG70" s="60" t="s">
        <v>717</v>
      </c>
      <c r="AH70" s="61" t="s">
        <v>717</v>
      </c>
      <c r="AI70" s="64"/>
      <c r="AJ70" s="66"/>
      <c r="AK70" s="22" t="s">
        <v>717</v>
      </c>
      <c r="AL70" s="23"/>
      <c r="AM70" s="23"/>
    </row>
    <row r="71" spans="1:40" s="3" customFormat="1" ht="14.5" x14ac:dyDescent="0.35">
      <c r="A71" s="24">
        <v>65</v>
      </c>
      <c r="B71" s="11" t="s">
        <v>5</v>
      </c>
      <c r="C71" s="14" t="s">
        <v>88</v>
      </c>
      <c r="D71" s="11">
        <v>102378</v>
      </c>
      <c r="E71" s="11">
        <v>48194</v>
      </c>
      <c r="F71" s="20" t="s">
        <v>560</v>
      </c>
      <c r="G71" s="20" t="s">
        <v>738</v>
      </c>
      <c r="H71" s="6">
        <v>29.090982</v>
      </c>
      <c r="I71" s="6">
        <v>70.898578000000001</v>
      </c>
      <c r="J71" s="12" t="s">
        <v>13</v>
      </c>
      <c r="K71" s="11" t="s">
        <v>91</v>
      </c>
      <c r="L71" s="11" t="s">
        <v>433</v>
      </c>
      <c r="M71" s="11" t="s">
        <v>235</v>
      </c>
      <c r="N71" s="39">
        <f t="shared" si="0"/>
        <v>3</v>
      </c>
      <c r="O71" s="41" t="s">
        <v>597</v>
      </c>
      <c r="P71" s="42">
        <v>0</v>
      </c>
      <c r="Q71" s="43">
        <v>3</v>
      </c>
      <c r="R71" s="44">
        <v>0</v>
      </c>
      <c r="S71" s="46" t="s">
        <v>717</v>
      </c>
      <c r="T71" s="46" t="s">
        <v>717</v>
      </c>
      <c r="U71" s="46" t="s">
        <v>717</v>
      </c>
      <c r="V71" s="46" t="s">
        <v>717</v>
      </c>
      <c r="W71" s="48" t="s">
        <v>717</v>
      </c>
      <c r="X71" s="49" t="s">
        <v>717</v>
      </c>
      <c r="Y71" s="50" t="s">
        <v>717</v>
      </c>
      <c r="Z71" s="51" t="s">
        <v>717</v>
      </c>
      <c r="AA71" s="53" t="s">
        <v>717</v>
      </c>
      <c r="AB71" s="54" t="s">
        <v>717</v>
      </c>
      <c r="AC71" s="55" t="s">
        <v>717</v>
      </c>
      <c r="AD71" s="56" t="s">
        <v>717</v>
      </c>
      <c r="AE71" s="58" t="s">
        <v>717</v>
      </c>
      <c r="AF71" s="59" t="s">
        <v>717</v>
      </c>
      <c r="AG71" s="60" t="s">
        <v>717</v>
      </c>
      <c r="AH71" s="61" t="s">
        <v>717</v>
      </c>
      <c r="AI71" s="64"/>
      <c r="AJ71" s="66"/>
      <c r="AK71" s="22">
        <v>3</v>
      </c>
      <c r="AL71" s="23"/>
      <c r="AM71" s="23"/>
      <c r="AN71" s="123">
        <f>N71-AK71</f>
        <v>0</v>
      </c>
    </row>
    <row r="72" spans="1:40" s="3" customFormat="1" ht="14.5" x14ac:dyDescent="0.35">
      <c r="A72" s="24">
        <v>66</v>
      </c>
      <c r="B72" s="11" t="s">
        <v>5</v>
      </c>
      <c r="C72" s="11" t="s">
        <v>110</v>
      </c>
      <c r="D72" s="11">
        <v>102386</v>
      </c>
      <c r="E72" s="11">
        <v>48196</v>
      </c>
      <c r="F72" s="20" t="s">
        <v>560</v>
      </c>
      <c r="G72" s="20" t="s">
        <v>738</v>
      </c>
      <c r="H72" s="6">
        <v>28.649550000000001</v>
      </c>
      <c r="I72" s="6">
        <v>70.647509999999997</v>
      </c>
      <c r="J72" s="12" t="s">
        <v>13</v>
      </c>
      <c r="K72" s="11" t="s">
        <v>91</v>
      </c>
      <c r="L72" s="11" t="s">
        <v>433</v>
      </c>
      <c r="M72" s="11" t="s">
        <v>258</v>
      </c>
      <c r="N72" s="39">
        <f t="shared" ref="N72:N135" si="1">SUM(P72:R72,T72:V72,X72:Z72,AB72:AD72,AF72:AH72,,,,,AI72:AJ72,)</f>
        <v>4</v>
      </c>
      <c r="O72" s="41" t="s">
        <v>592</v>
      </c>
      <c r="P72" s="42">
        <v>0</v>
      </c>
      <c r="Q72" s="43">
        <v>3</v>
      </c>
      <c r="R72" s="44">
        <v>0</v>
      </c>
      <c r="S72" s="46" t="s">
        <v>717</v>
      </c>
      <c r="T72" s="46" t="s">
        <v>717</v>
      </c>
      <c r="U72" s="46" t="s">
        <v>717</v>
      </c>
      <c r="V72" s="46" t="s">
        <v>717</v>
      </c>
      <c r="W72" s="48" t="s">
        <v>717</v>
      </c>
      <c r="X72" s="49" t="s">
        <v>717</v>
      </c>
      <c r="Y72" s="50" t="s">
        <v>717</v>
      </c>
      <c r="Z72" s="51" t="s">
        <v>717</v>
      </c>
      <c r="AA72" s="53" t="s">
        <v>717</v>
      </c>
      <c r="AB72" s="54" t="s">
        <v>717</v>
      </c>
      <c r="AC72" s="55" t="s">
        <v>717</v>
      </c>
      <c r="AD72" s="56" t="s">
        <v>717</v>
      </c>
      <c r="AE72" s="58" t="s">
        <v>717</v>
      </c>
      <c r="AF72" s="59" t="s">
        <v>717</v>
      </c>
      <c r="AG72" s="60" t="s">
        <v>717</v>
      </c>
      <c r="AH72" s="61" t="s">
        <v>717</v>
      </c>
      <c r="AI72" s="64">
        <v>1</v>
      </c>
      <c r="AJ72" s="66"/>
      <c r="AK72" s="22" t="s">
        <v>717</v>
      </c>
      <c r="AL72" s="23"/>
      <c r="AM72" s="23" t="s">
        <v>681</v>
      </c>
    </row>
    <row r="73" spans="1:40" s="3" customFormat="1" ht="14.5" x14ac:dyDescent="0.35">
      <c r="A73" s="24">
        <v>67</v>
      </c>
      <c r="B73" s="11" t="s">
        <v>5</v>
      </c>
      <c r="C73" s="11" t="s">
        <v>114</v>
      </c>
      <c r="D73" s="11">
        <v>114050</v>
      </c>
      <c r="E73" s="11">
        <v>48199</v>
      </c>
      <c r="F73" s="20" t="s">
        <v>560</v>
      </c>
      <c r="G73" s="20" t="s">
        <v>738</v>
      </c>
      <c r="H73" s="6">
        <v>28.773510000000002</v>
      </c>
      <c r="I73" s="6">
        <v>70.502750000000006</v>
      </c>
      <c r="J73" s="12" t="s">
        <v>6</v>
      </c>
      <c r="K73" s="11" t="s">
        <v>91</v>
      </c>
      <c r="L73" s="11" t="s">
        <v>433</v>
      </c>
      <c r="M73" s="11" t="s">
        <v>262</v>
      </c>
      <c r="N73" s="39">
        <f t="shared" si="1"/>
        <v>4</v>
      </c>
      <c r="O73" s="41" t="s">
        <v>717</v>
      </c>
      <c r="P73" s="42" t="s">
        <v>717</v>
      </c>
      <c r="Q73" s="43" t="s">
        <v>717</v>
      </c>
      <c r="R73" s="44" t="s">
        <v>717</v>
      </c>
      <c r="S73" s="46" t="s">
        <v>600</v>
      </c>
      <c r="T73" s="46">
        <v>0</v>
      </c>
      <c r="U73" s="46">
        <v>2</v>
      </c>
      <c r="V73" s="46">
        <v>0</v>
      </c>
      <c r="W73" s="48" t="s">
        <v>717</v>
      </c>
      <c r="X73" s="49" t="s">
        <v>717</v>
      </c>
      <c r="Y73" s="50" t="s">
        <v>717</v>
      </c>
      <c r="Z73" s="51" t="s">
        <v>717</v>
      </c>
      <c r="AA73" s="53" t="s">
        <v>717</v>
      </c>
      <c r="AB73" s="54" t="s">
        <v>717</v>
      </c>
      <c r="AC73" s="55" t="s">
        <v>717</v>
      </c>
      <c r="AD73" s="56" t="s">
        <v>717</v>
      </c>
      <c r="AE73" s="58" t="s">
        <v>717</v>
      </c>
      <c r="AF73" s="59" t="s">
        <v>717</v>
      </c>
      <c r="AG73" s="60" t="s">
        <v>717</v>
      </c>
      <c r="AH73" s="61" t="s">
        <v>717</v>
      </c>
      <c r="AI73" s="64">
        <v>2</v>
      </c>
      <c r="AJ73" s="66"/>
      <c r="AK73" s="22" t="s">
        <v>717</v>
      </c>
      <c r="AL73" s="23"/>
      <c r="AM73" s="23" t="s">
        <v>688</v>
      </c>
    </row>
    <row r="74" spans="1:40" s="3" customFormat="1" ht="14.5" x14ac:dyDescent="0.35">
      <c r="A74" s="24">
        <v>68</v>
      </c>
      <c r="B74" s="11" t="s">
        <v>5</v>
      </c>
      <c r="C74" s="11" t="s">
        <v>478</v>
      </c>
      <c r="D74" s="11">
        <v>118904</v>
      </c>
      <c r="E74" s="11">
        <v>48202</v>
      </c>
      <c r="F74" s="20" t="s">
        <v>559</v>
      </c>
      <c r="G74" s="20" t="s">
        <v>739</v>
      </c>
      <c r="H74" s="6">
        <v>28.92362</v>
      </c>
      <c r="I74" s="6">
        <v>70.931489999999997</v>
      </c>
      <c r="J74" s="12" t="s">
        <v>13</v>
      </c>
      <c r="K74" s="11" t="s">
        <v>91</v>
      </c>
      <c r="L74" s="11" t="s">
        <v>433</v>
      </c>
      <c r="M74" s="11" t="s">
        <v>263</v>
      </c>
      <c r="N74" s="39">
        <f t="shared" si="1"/>
        <v>3</v>
      </c>
      <c r="O74" s="41" t="s">
        <v>606</v>
      </c>
      <c r="P74" s="42">
        <v>0</v>
      </c>
      <c r="Q74" s="43">
        <v>2</v>
      </c>
      <c r="R74" s="44">
        <v>0</v>
      </c>
      <c r="S74" s="46" t="s">
        <v>717</v>
      </c>
      <c r="T74" s="46" t="s">
        <v>717</v>
      </c>
      <c r="U74" s="46" t="s">
        <v>717</v>
      </c>
      <c r="V74" s="46" t="s">
        <v>717</v>
      </c>
      <c r="W74" s="48" t="s">
        <v>717</v>
      </c>
      <c r="X74" s="49" t="s">
        <v>717</v>
      </c>
      <c r="Y74" s="50" t="s">
        <v>717</v>
      </c>
      <c r="Z74" s="51" t="s">
        <v>717</v>
      </c>
      <c r="AA74" s="53" t="s">
        <v>717</v>
      </c>
      <c r="AB74" s="54" t="s">
        <v>717</v>
      </c>
      <c r="AC74" s="55" t="s">
        <v>717</v>
      </c>
      <c r="AD74" s="56" t="s">
        <v>717</v>
      </c>
      <c r="AE74" s="58" t="s">
        <v>717</v>
      </c>
      <c r="AF74" s="59" t="s">
        <v>717</v>
      </c>
      <c r="AG74" s="60" t="s">
        <v>717</v>
      </c>
      <c r="AH74" s="61" t="s">
        <v>717</v>
      </c>
      <c r="AI74" s="64">
        <v>1</v>
      </c>
      <c r="AJ74" s="66"/>
      <c r="AK74" s="22" t="s">
        <v>717</v>
      </c>
      <c r="AL74" s="23"/>
      <c r="AM74" s="23" t="s">
        <v>649</v>
      </c>
    </row>
    <row r="75" spans="1:40" s="3" customFormat="1" ht="14.5" x14ac:dyDescent="0.35">
      <c r="A75" s="24">
        <v>69</v>
      </c>
      <c r="B75" s="11" t="s">
        <v>5</v>
      </c>
      <c r="C75" s="11" t="s">
        <v>89</v>
      </c>
      <c r="D75" s="11">
        <v>102412</v>
      </c>
      <c r="E75" s="11">
        <v>48204</v>
      </c>
      <c r="F75" s="20" t="s">
        <v>559</v>
      </c>
      <c r="G75" s="20" t="s">
        <v>739</v>
      </c>
      <c r="H75" s="6">
        <v>28.988949999999999</v>
      </c>
      <c r="I75" s="6">
        <v>70.766549999999995</v>
      </c>
      <c r="J75" s="12" t="s">
        <v>13</v>
      </c>
      <c r="K75" s="11" t="s">
        <v>91</v>
      </c>
      <c r="L75" s="11" t="s">
        <v>433</v>
      </c>
      <c r="M75" s="11" t="s">
        <v>237</v>
      </c>
      <c r="N75" s="39">
        <f t="shared" si="1"/>
        <v>3</v>
      </c>
      <c r="O75" s="41" t="s">
        <v>717</v>
      </c>
      <c r="P75" s="42" t="s">
        <v>717</v>
      </c>
      <c r="Q75" s="43" t="s">
        <v>717</v>
      </c>
      <c r="R75" s="44" t="s">
        <v>717</v>
      </c>
      <c r="S75" s="46" t="s">
        <v>717</v>
      </c>
      <c r="T75" s="46" t="s">
        <v>717</v>
      </c>
      <c r="U75" s="46" t="s">
        <v>717</v>
      </c>
      <c r="V75" s="46" t="s">
        <v>717</v>
      </c>
      <c r="W75" s="48" t="s">
        <v>717</v>
      </c>
      <c r="X75" s="49" t="s">
        <v>717</v>
      </c>
      <c r="Y75" s="50" t="s">
        <v>717</v>
      </c>
      <c r="Z75" s="51" t="s">
        <v>717</v>
      </c>
      <c r="AA75" s="53" t="s">
        <v>717</v>
      </c>
      <c r="AB75" s="54" t="s">
        <v>717</v>
      </c>
      <c r="AC75" s="55" t="s">
        <v>717</v>
      </c>
      <c r="AD75" s="56" t="s">
        <v>717</v>
      </c>
      <c r="AE75" s="58" t="s">
        <v>717</v>
      </c>
      <c r="AF75" s="59" t="s">
        <v>717</v>
      </c>
      <c r="AG75" s="60" t="s">
        <v>717</v>
      </c>
      <c r="AH75" s="61" t="s">
        <v>717</v>
      </c>
      <c r="AI75" s="64">
        <v>3</v>
      </c>
      <c r="AJ75" s="66"/>
      <c r="AK75" s="22" t="s">
        <v>717</v>
      </c>
      <c r="AL75" s="23"/>
      <c r="AM75" s="23" t="s">
        <v>699</v>
      </c>
    </row>
    <row r="76" spans="1:40" s="3" customFormat="1" ht="14.5" x14ac:dyDescent="0.35">
      <c r="A76" s="24">
        <v>70</v>
      </c>
      <c r="B76" s="11" t="s">
        <v>5</v>
      </c>
      <c r="C76" s="11" t="s">
        <v>116</v>
      </c>
      <c r="D76" s="11">
        <v>102414</v>
      </c>
      <c r="E76" s="11">
        <v>48205</v>
      </c>
      <c r="F76" s="20" t="s">
        <v>559</v>
      </c>
      <c r="G76" s="20" t="s">
        <v>739</v>
      </c>
      <c r="H76" s="6">
        <v>28.92409</v>
      </c>
      <c r="I76" s="6">
        <v>70.699529999999996</v>
      </c>
      <c r="J76" s="12" t="s">
        <v>13</v>
      </c>
      <c r="K76" s="11" t="s">
        <v>91</v>
      </c>
      <c r="L76" s="11" t="s">
        <v>433</v>
      </c>
      <c r="M76" s="11" t="s">
        <v>265</v>
      </c>
      <c r="N76" s="39">
        <f t="shared" si="1"/>
        <v>4</v>
      </c>
      <c r="O76" s="41" t="s">
        <v>717</v>
      </c>
      <c r="P76" s="42" t="s">
        <v>717</v>
      </c>
      <c r="Q76" s="43" t="s">
        <v>717</v>
      </c>
      <c r="R76" s="44" t="s">
        <v>717</v>
      </c>
      <c r="S76" s="46" t="s">
        <v>717</v>
      </c>
      <c r="T76" s="46" t="s">
        <v>717</v>
      </c>
      <c r="U76" s="46" t="s">
        <v>717</v>
      </c>
      <c r="V76" s="46" t="s">
        <v>717</v>
      </c>
      <c r="W76" s="48" t="s">
        <v>717</v>
      </c>
      <c r="X76" s="49" t="s">
        <v>717</v>
      </c>
      <c r="Y76" s="50" t="s">
        <v>717</v>
      </c>
      <c r="Z76" s="51" t="s">
        <v>717</v>
      </c>
      <c r="AA76" s="53" t="s">
        <v>717</v>
      </c>
      <c r="AB76" s="54" t="s">
        <v>717</v>
      </c>
      <c r="AC76" s="55" t="s">
        <v>717</v>
      </c>
      <c r="AD76" s="56" t="s">
        <v>717</v>
      </c>
      <c r="AE76" s="58" t="s">
        <v>717</v>
      </c>
      <c r="AF76" s="59" t="s">
        <v>717</v>
      </c>
      <c r="AG76" s="60" t="s">
        <v>717</v>
      </c>
      <c r="AH76" s="61" t="s">
        <v>717</v>
      </c>
      <c r="AI76" s="64">
        <v>4</v>
      </c>
      <c r="AJ76" s="66"/>
      <c r="AK76" s="22" t="s">
        <v>717</v>
      </c>
      <c r="AL76" s="23"/>
      <c r="AM76" s="23" t="s">
        <v>704</v>
      </c>
    </row>
    <row r="77" spans="1:40" s="3" customFormat="1" ht="14.5" x14ac:dyDescent="0.35">
      <c r="A77" s="24">
        <v>71</v>
      </c>
      <c r="B77" s="11" t="s">
        <v>5</v>
      </c>
      <c r="C77" s="11" t="s">
        <v>397</v>
      </c>
      <c r="D77" s="11">
        <v>117142</v>
      </c>
      <c r="E77" s="11">
        <v>48206</v>
      </c>
      <c r="F77" s="20" t="s">
        <v>559</v>
      </c>
      <c r="G77" s="20" t="s">
        <v>739</v>
      </c>
      <c r="H77" s="6">
        <v>29.047630000000002</v>
      </c>
      <c r="I77" s="6">
        <v>70.843190000000007</v>
      </c>
      <c r="J77" s="12" t="s">
        <v>388</v>
      </c>
      <c r="K77" s="11" t="s">
        <v>91</v>
      </c>
      <c r="L77" s="11" t="s">
        <v>433</v>
      </c>
      <c r="M77" s="11" t="s">
        <v>398</v>
      </c>
      <c r="N77" s="39">
        <f t="shared" si="1"/>
        <v>3</v>
      </c>
      <c r="O77" s="41" t="s">
        <v>717</v>
      </c>
      <c r="P77" s="42" t="s">
        <v>717</v>
      </c>
      <c r="Q77" s="43" t="s">
        <v>717</v>
      </c>
      <c r="R77" s="44" t="s">
        <v>717</v>
      </c>
      <c r="S77" s="46" t="s">
        <v>717</v>
      </c>
      <c r="T77" s="46" t="s">
        <v>717</v>
      </c>
      <c r="U77" s="46" t="s">
        <v>717</v>
      </c>
      <c r="V77" s="46" t="s">
        <v>717</v>
      </c>
      <c r="W77" s="48" t="s">
        <v>717</v>
      </c>
      <c r="X77" s="49" t="s">
        <v>717</v>
      </c>
      <c r="Y77" s="50" t="s">
        <v>717</v>
      </c>
      <c r="Z77" s="51" t="s">
        <v>717</v>
      </c>
      <c r="AA77" s="53" t="s">
        <v>717</v>
      </c>
      <c r="AB77" s="54" t="s">
        <v>717</v>
      </c>
      <c r="AC77" s="55" t="s">
        <v>717</v>
      </c>
      <c r="AD77" s="56" t="s">
        <v>717</v>
      </c>
      <c r="AE77" s="58" t="s">
        <v>717</v>
      </c>
      <c r="AF77" s="59" t="s">
        <v>717</v>
      </c>
      <c r="AG77" s="60" t="s">
        <v>717</v>
      </c>
      <c r="AH77" s="61" t="s">
        <v>717</v>
      </c>
      <c r="AI77" s="64">
        <v>3</v>
      </c>
      <c r="AJ77" s="66"/>
      <c r="AK77" s="22" t="s">
        <v>717</v>
      </c>
      <c r="AL77" s="23"/>
      <c r="AM77" s="23" t="s">
        <v>667</v>
      </c>
    </row>
    <row r="78" spans="1:40" s="3" customFormat="1" ht="14.5" x14ac:dyDescent="0.35">
      <c r="A78" s="24">
        <v>72</v>
      </c>
      <c r="B78" s="11" t="s">
        <v>5</v>
      </c>
      <c r="C78" s="14" t="s">
        <v>390</v>
      </c>
      <c r="D78" s="11">
        <v>116876</v>
      </c>
      <c r="E78" s="11">
        <v>48208</v>
      </c>
      <c r="F78" s="20" t="s">
        <v>559</v>
      </c>
      <c r="G78" s="20" t="s">
        <v>739</v>
      </c>
      <c r="H78" s="6">
        <v>28.7840278</v>
      </c>
      <c r="I78" s="6">
        <v>70.818612000000002</v>
      </c>
      <c r="J78" s="12" t="s">
        <v>407</v>
      </c>
      <c r="K78" s="11" t="s">
        <v>91</v>
      </c>
      <c r="L78" s="11" t="s">
        <v>433</v>
      </c>
      <c r="M78" s="11" t="s">
        <v>391</v>
      </c>
      <c r="N78" s="39">
        <f t="shared" si="1"/>
        <v>3</v>
      </c>
      <c r="O78" s="41" t="s">
        <v>717</v>
      </c>
      <c r="P78" s="42" t="s">
        <v>717</v>
      </c>
      <c r="Q78" s="43" t="s">
        <v>717</v>
      </c>
      <c r="R78" s="44" t="s">
        <v>717</v>
      </c>
      <c r="S78" s="46" t="s">
        <v>717</v>
      </c>
      <c r="T78" s="46" t="s">
        <v>717</v>
      </c>
      <c r="U78" s="46" t="s">
        <v>717</v>
      </c>
      <c r="V78" s="46" t="s">
        <v>717</v>
      </c>
      <c r="W78" s="48" t="s">
        <v>717</v>
      </c>
      <c r="X78" s="49" t="s">
        <v>717</v>
      </c>
      <c r="Y78" s="50" t="s">
        <v>717</v>
      </c>
      <c r="Z78" s="51" t="s">
        <v>717</v>
      </c>
      <c r="AA78" s="53" t="s">
        <v>717</v>
      </c>
      <c r="AB78" s="54" t="s">
        <v>717</v>
      </c>
      <c r="AC78" s="55" t="s">
        <v>717</v>
      </c>
      <c r="AD78" s="56" t="s">
        <v>717</v>
      </c>
      <c r="AE78" s="58" t="s">
        <v>717</v>
      </c>
      <c r="AF78" s="59" t="s">
        <v>717</v>
      </c>
      <c r="AG78" s="60" t="s">
        <v>717</v>
      </c>
      <c r="AH78" s="61" t="s">
        <v>717</v>
      </c>
      <c r="AI78" s="64">
        <v>3</v>
      </c>
      <c r="AJ78" s="66"/>
      <c r="AK78" s="22" t="s">
        <v>717</v>
      </c>
      <c r="AL78" s="23"/>
      <c r="AM78" s="23" t="s">
        <v>667</v>
      </c>
    </row>
    <row r="79" spans="1:40" s="3" customFormat="1" ht="14.5" x14ac:dyDescent="0.35">
      <c r="A79" s="24">
        <v>73</v>
      </c>
      <c r="B79" s="11" t="s">
        <v>5</v>
      </c>
      <c r="C79" s="14" t="s">
        <v>133</v>
      </c>
      <c r="D79" s="11">
        <v>102427</v>
      </c>
      <c r="E79" s="11">
        <v>48209</v>
      </c>
      <c r="F79" s="20" t="s">
        <v>559</v>
      </c>
      <c r="G79" s="20" t="s">
        <v>739</v>
      </c>
      <c r="H79" s="6">
        <v>28.61234</v>
      </c>
      <c r="I79" s="6">
        <v>70.60821</v>
      </c>
      <c r="J79" s="12" t="s">
        <v>13</v>
      </c>
      <c r="K79" s="11" t="s">
        <v>91</v>
      </c>
      <c r="L79" s="11" t="s">
        <v>433</v>
      </c>
      <c r="M79" s="11" t="s">
        <v>292</v>
      </c>
      <c r="N79" s="39">
        <f t="shared" si="1"/>
        <v>4</v>
      </c>
      <c r="O79" s="41" t="s">
        <v>592</v>
      </c>
      <c r="P79" s="42">
        <v>0</v>
      </c>
      <c r="Q79" s="43">
        <v>3</v>
      </c>
      <c r="R79" s="44">
        <v>0</v>
      </c>
      <c r="S79" s="46" t="s">
        <v>717</v>
      </c>
      <c r="T79" s="46" t="s">
        <v>717</v>
      </c>
      <c r="U79" s="46" t="s">
        <v>717</v>
      </c>
      <c r="V79" s="46" t="s">
        <v>717</v>
      </c>
      <c r="W79" s="48" t="s">
        <v>717</v>
      </c>
      <c r="X79" s="49" t="s">
        <v>717</v>
      </c>
      <c r="Y79" s="50" t="s">
        <v>717</v>
      </c>
      <c r="Z79" s="51" t="s">
        <v>717</v>
      </c>
      <c r="AA79" s="53" t="s">
        <v>717</v>
      </c>
      <c r="AB79" s="54" t="s">
        <v>717</v>
      </c>
      <c r="AC79" s="55" t="s">
        <v>717</v>
      </c>
      <c r="AD79" s="56" t="s">
        <v>717</v>
      </c>
      <c r="AE79" s="58" t="s">
        <v>717</v>
      </c>
      <c r="AF79" s="59" t="s">
        <v>717</v>
      </c>
      <c r="AG79" s="60" t="s">
        <v>717</v>
      </c>
      <c r="AH79" s="61" t="s">
        <v>717</v>
      </c>
      <c r="AI79" s="64">
        <v>1</v>
      </c>
      <c r="AJ79" s="66"/>
      <c r="AK79" s="22" t="s">
        <v>717</v>
      </c>
      <c r="AL79" s="23"/>
      <c r="AM79" s="23" t="s">
        <v>665</v>
      </c>
    </row>
    <row r="80" spans="1:40" s="3" customFormat="1" ht="14.5" x14ac:dyDescent="0.35">
      <c r="A80" s="24">
        <v>74</v>
      </c>
      <c r="B80" s="11" t="s">
        <v>5</v>
      </c>
      <c r="C80" s="11" t="s">
        <v>134</v>
      </c>
      <c r="D80" s="11">
        <v>102435</v>
      </c>
      <c r="E80" s="11">
        <v>48210</v>
      </c>
      <c r="F80" s="20" t="s">
        <v>559</v>
      </c>
      <c r="G80" s="20" t="s">
        <v>739</v>
      </c>
      <c r="H80" s="6">
        <v>28.67146</v>
      </c>
      <c r="I80" s="6">
        <v>70.528679999999994</v>
      </c>
      <c r="J80" s="12" t="s">
        <v>13</v>
      </c>
      <c r="K80" s="11" t="s">
        <v>91</v>
      </c>
      <c r="L80" s="11" t="s">
        <v>433</v>
      </c>
      <c r="M80" s="11" t="s">
        <v>293</v>
      </c>
      <c r="N80" s="39">
        <f t="shared" si="1"/>
        <v>3</v>
      </c>
      <c r="O80" s="41" t="s">
        <v>717</v>
      </c>
      <c r="P80" s="42" t="s">
        <v>717</v>
      </c>
      <c r="Q80" s="43" t="s">
        <v>717</v>
      </c>
      <c r="R80" s="44" t="s">
        <v>717</v>
      </c>
      <c r="S80" s="46" t="s">
        <v>717</v>
      </c>
      <c r="T80" s="46" t="s">
        <v>717</v>
      </c>
      <c r="U80" s="46" t="s">
        <v>717</v>
      </c>
      <c r="V80" s="46" t="s">
        <v>717</v>
      </c>
      <c r="W80" s="48" t="s">
        <v>717</v>
      </c>
      <c r="X80" s="49" t="s">
        <v>717</v>
      </c>
      <c r="Y80" s="50" t="s">
        <v>717</v>
      </c>
      <c r="Z80" s="51" t="s">
        <v>717</v>
      </c>
      <c r="AA80" s="53" t="s">
        <v>717</v>
      </c>
      <c r="AB80" s="54" t="s">
        <v>717</v>
      </c>
      <c r="AC80" s="55" t="s">
        <v>717</v>
      </c>
      <c r="AD80" s="56" t="s">
        <v>717</v>
      </c>
      <c r="AE80" s="58" t="s">
        <v>717</v>
      </c>
      <c r="AF80" s="59" t="s">
        <v>717</v>
      </c>
      <c r="AG80" s="60" t="s">
        <v>717</v>
      </c>
      <c r="AH80" s="61" t="s">
        <v>717</v>
      </c>
      <c r="AI80" s="64">
        <v>3</v>
      </c>
      <c r="AJ80" s="66"/>
      <c r="AK80" s="22" t="s">
        <v>717</v>
      </c>
      <c r="AL80" s="23"/>
      <c r="AM80" s="23" t="s">
        <v>696</v>
      </c>
    </row>
    <row r="81" spans="1:41" s="3" customFormat="1" ht="14.5" x14ac:dyDescent="0.35">
      <c r="A81" s="24">
        <v>75</v>
      </c>
      <c r="B81" s="11" t="s">
        <v>5</v>
      </c>
      <c r="C81" s="12" t="s">
        <v>121</v>
      </c>
      <c r="D81" s="11">
        <v>116920</v>
      </c>
      <c r="E81" s="11">
        <v>48212</v>
      </c>
      <c r="F81" s="20" t="s">
        <v>559</v>
      </c>
      <c r="G81" s="20" t="s">
        <v>739</v>
      </c>
      <c r="H81" s="6">
        <v>28.695740000000001</v>
      </c>
      <c r="I81" s="6">
        <v>70.751490000000004</v>
      </c>
      <c r="J81" s="12" t="s">
        <v>408</v>
      </c>
      <c r="K81" s="11" t="s">
        <v>91</v>
      </c>
      <c r="L81" s="11" t="s">
        <v>433</v>
      </c>
      <c r="M81" s="11" t="s">
        <v>273</v>
      </c>
      <c r="N81" s="39">
        <f t="shared" si="1"/>
        <v>3</v>
      </c>
      <c r="O81" s="41" t="s">
        <v>717</v>
      </c>
      <c r="P81" s="42" t="s">
        <v>717</v>
      </c>
      <c r="Q81" s="43" t="s">
        <v>717</v>
      </c>
      <c r="R81" s="44" t="s">
        <v>717</v>
      </c>
      <c r="S81" s="46" t="s">
        <v>717</v>
      </c>
      <c r="T81" s="46" t="s">
        <v>717</v>
      </c>
      <c r="U81" s="46" t="s">
        <v>717</v>
      </c>
      <c r="V81" s="46" t="s">
        <v>717</v>
      </c>
      <c r="W81" s="48" t="s">
        <v>717</v>
      </c>
      <c r="X81" s="49" t="s">
        <v>717</v>
      </c>
      <c r="Y81" s="50" t="s">
        <v>717</v>
      </c>
      <c r="Z81" s="51" t="s">
        <v>717</v>
      </c>
      <c r="AA81" s="53" t="s">
        <v>717</v>
      </c>
      <c r="AB81" s="54" t="s">
        <v>717</v>
      </c>
      <c r="AC81" s="55" t="s">
        <v>717</v>
      </c>
      <c r="AD81" s="56" t="s">
        <v>717</v>
      </c>
      <c r="AE81" s="58" t="s">
        <v>717</v>
      </c>
      <c r="AF81" s="59" t="s">
        <v>717</v>
      </c>
      <c r="AG81" s="60" t="s">
        <v>717</v>
      </c>
      <c r="AH81" s="61" t="s">
        <v>717</v>
      </c>
      <c r="AI81" s="64">
        <v>3</v>
      </c>
      <c r="AJ81" s="66"/>
      <c r="AK81" s="22" t="s">
        <v>717</v>
      </c>
      <c r="AL81" s="23"/>
      <c r="AM81" s="23" t="s">
        <v>699</v>
      </c>
    </row>
    <row r="82" spans="1:41" s="3" customFormat="1" ht="14.5" x14ac:dyDescent="0.35">
      <c r="A82" s="24">
        <v>76</v>
      </c>
      <c r="B82" s="11" t="s">
        <v>5</v>
      </c>
      <c r="C82" s="11" t="s">
        <v>481</v>
      </c>
      <c r="D82" s="11">
        <v>116585</v>
      </c>
      <c r="E82" s="11">
        <v>48213</v>
      </c>
      <c r="F82" s="20" t="s">
        <v>559</v>
      </c>
      <c r="G82" s="20" t="s">
        <v>739</v>
      </c>
      <c r="H82" s="6">
        <v>28.60425</v>
      </c>
      <c r="I82" s="6">
        <v>70.656229999999994</v>
      </c>
      <c r="J82" s="12" t="s">
        <v>408</v>
      </c>
      <c r="K82" s="11" t="s">
        <v>91</v>
      </c>
      <c r="L82" s="11" t="s">
        <v>433</v>
      </c>
      <c r="M82" s="11" t="s">
        <v>296</v>
      </c>
      <c r="N82" s="39">
        <f t="shared" si="1"/>
        <v>2</v>
      </c>
      <c r="O82" s="41" t="s">
        <v>717</v>
      </c>
      <c r="P82" s="42" t="s">
        <v>717</v>
      </c>
      <c r="Q82" s="43" t="s">
        <v>717</v>
      </c>
      <c r="R82" s="44" t="s">
        <v>717</v>
      </c>
      <c r="S82" s="46" t="s">
        <v>717</v>
      </c>
      <c r="T82" s="46" t="s">
        <v>717</v>
      </c>
      <c r="U82" s="46" t="s">
        <v>717</v>
      </c>
      <c r="V82" s="46" t="s">
        <v>717</v>
      </c>
      <c r="W82" s="48" t="s">
        <v>717</v>
      </c>
      <c r="X82" s="49" t="s">
        <v>717</v>
      </c>
      <c r="Y82" s="50" t="s">
        <v>717</v>
      </c>
      <c r="Z82" s="51" t="s">
        <v>717</v>
      </c>
      <c r="AA82" s="53" t="s">
        <v>717</v>
      </c>
      <c r="AB82" s="54" t="s">
        <v>717</v>
      </c>
      <c r="AC82" s="55" t="s">
        <v>717</v>
      </c>
      <c r="AD82" s="56" t="s">
        <v>717</v>
      </c>
      <c r="AE82" s="58" t="s">
        <v>717</v>
      </c>
      <c r="AF82" s="59" t="s">
        <v>717</v>
      </c>
      <c r="AG82" s="60" t="s">
        <v>717</v>
      </c>
      <c r="AH82" s="61" t="s">
        <v>717</v>
      </c>
      <c r="AI82" s="64">
        <v>2</v>
      </c>
      <c r="AJ82" s="66"/>
      <c r="AK82" s="22" t="s">
        <v>717</v>
      </c>
      <c r="AL82" s="23"/>
      <c r="AM82" s="23" t="s">
        <v>684</v>
      </c>
    </row>
    <row r="83" spans="1:41" s="3" customFormat="1" ht="14.5" x14ac:dyDescent="0.35">
      <c r="A83" s="24">
        <v>77</v>
      </c>
      <c r="B83" s="11" t="s">
        <v>5</v>
      </c>
      <c r="C83" s="11" t="s">
        <v>482</v>
      </c>
      <c r="D83" s="11">
        <v>116925</v>
      </c>
      <c r="E83" s="11">
        <v>48214</v>
      </c>
      <c r="F83" s="20" t="s">
        <v>560</v>
      </c>
      <c r="G83" s="20" t="s">
        <v>739</v>
      </c>
      <c r="H83" s="6">
        <v>28.657609999999998</v>
      </c>
      <c r="I83" s="6">
        <v>70.671769999999995</v>
      </c>
      <c r="J83" s="12" t="s">
        <v>408</v>
      </c>
      <c r="K83" s="11" t="s">
        <v>91</v>
      </c>
      <c r="L83" s="11" t="s">
        <v>433</v>
      </c>
      <c r="M83" s="11" t="s">
        <v>283</v>
      </c>
      <c r="N83" s="39">
        <f t="shared" si="1"/>
        <v>3</v>
      </c>
      <c r="O83" s="41" t="s">
        <v>717</v>
      </c>
      <c r="P83" s="42" t="s">
        <v>717</v>
      </c>
      <c r="Q83" s="43" t="s">
        <v>717</v>
      </c>
      <c r="R83" s="44" t="s">
        <v>717</v>
      </c>
      <c r="S83" s="46" t="s">
        <v>717</v>
      </c>
      <c r="T83" s="46" t="s">
        <v>717</v>
      </c>
      <c r="U83" s="46" t="s">
        <v>717</v>
      </c>
      <c r="V83" s="46" t="s">
        <v>717</v>
      </c>
      <c r="W83" s="48" t="s">
        <v>717</v>
      </c>
      <c r="X83" s="49" t="s">
        <v>717</v>
      </c>
      <c r="Y83" s="50" t="s">
        <v>717</v>
      </c>
      <c r="Z83" s="51" t="s">
        <v>717</v>
      </c>
      <c r="AA83" s="53" t="s">
        <v>717</v>
      </c>
      <c r="AB83" s="54" t="s">
        <v>717</v>
      </c>
      <c r="AC83" s="55" t="s">
        <v>717</v>
      </c>
      <c r="AD83" s="56" t="s">
        <v>717</v>
      </c>
      <c r="AE83" s="58" t="s">
        <v>717</v>
      </c>
      <c r="AF83" s="59" t="s">
        <v>717</v>
      </c>
      <c r="AG83" s="60" t="s">
        <v>717</v>
      </c>
      <c r="AH83" s="61" t="s">
        <v>717</v>
      </c>
      <c r="AI83" s="64">
        <v>3</v>
      </c>
      <c r="AJ83" s="66"/>
      <c r="AK83" s="22" t="s">
        <v>717</v>
      </c>
      <c r="AL83" s="23"/>
      <c r="AM83" s="23" t="s">
        <v>694</v>
      </c>
    </row>
    <row r="84" spans="1:41" s="3" customFormat="1" ht="14.5" x14ac:dyDescent="0.35">
      <c r="A84" s="24">
        <v>78</v>
      </c>
      <c r="B84" s="11" t="s">
        <v>5</v>
      </c>
      <c r="C84" s="11" t="s">
        <v>131</v>
      </c>
      <c r="D84" s="11">
        <v>102448</v>
      </c>
      <c r="E84" s="11">
        <v>48217</v>
      </c>
      <c r="F84" s="20" t="s">
        <v>560</v>
      </c>
      <c r="G84" s="20" t="s">
        <v>738</v>
      </c>
      <c r="H84" s="6">
        <v>28.760169999999999</v>
      </c>
      <c r="I84" s="6">
        <v>70.802080000000004</v>
      </c>
      <c r="J84" s="12" t="s">
        <v>13</v>
      </c>
      <c r="K84" s="11" t="s">
        <v>91</v>
      </c>
      <c r="L84" s="11" t="s">
        <v>433</v>
      </c>
      <c r="M84" s="11" t="s">
        <v>286</v>
      </c>
      <c r="N84" s="39">
        <f t="shared" si="1"/>
        <v>4</v>
      </c>
      <c r="O84" s="41" t="s">
        <v>717</v>
      </c>
      <c r="P84" s="42" t="s">
        <v>717</v>
      </c>
      <c r="Q84" s="43" t="s">
        <v>717</v>
      </c>
      <c r="R84" s="44" t="s">
        <v>717</v>
      </c>
      <c r="S84" s="46" t="s">
        <v>584</v>
      </c>
      <c r="T84" s="46">
        <v>2</v>
      </c>
      <c r="U84" s="46">
        <v>2</v>
      </c>
      <c r="V84" s="46">
        <v>0</v>
      </c>
      <c r="W84" s="48" t="s">
        <v>717</v>
      </c>
      <c r="X84" s="49" t="s">
        <v>717</v>
      </c>
      <c r="Y84" s="50" t="s">
        <v>717</v>
      </c>
      <c r="Z84" s="51" t="s">
        <v>717</v>
      </c>
      <c r="AA84" s="53" t="s">
        <v>717</v>
      </c>
      <c r="AB84" s="54" t="s">
        <v>717</v>
      </c>
      <c r="AC84" s="55" t="s">
        <v>717</v>
      </c>
      <c r="AD84" s="56" t="s">
        <v>717</v>
      </c>
      <c r="AE84" s="58" t="s">
        <v>717</v>
      </c>
      <c r="AF84" s="59" t="s">
        <v>717</v>
      </c>
      <c r="AG84" s="60" t="s">
        <v>717</v>
      </c>
      <c r="AH84" s="61" t="s">
        <v>717</v>
      </c>
      <c r="AI84" s="64"/>
      <c r="AJ84" s="66"/>
      <c r="AK84" s="22" t="s">
        <v>717</v>
      </c>
      <c r="AL84" s="23"/>
      <c r="AM84" s="23"/>
    </row>
    <row r="85" spans="1:41" s="3" customFormat="1" ht="14.5" x14ac:dyDescent="0.35">
      <c r="A85" s="24">
        <v>79</v>
      </c>
      <c r="B85" s="11" t="s">
        <v>5</v>
      </c>
      <c r="C85" s="11" t="s">
        <v>132</v>
      </c>
      <c r="D85" s="11">
        <v>102450</v>
      </c>
      <c r="E85" s="11">
        <v>48218</v>
      </c>
      <c r="F85" s="20" t="s">
        <v>559</v>
      </c>
      <c r="G85" s="20" t="s">
        <v>739</v>
      </c>
      <c r="H85" s="6">
        <v>28.633610000000001</v>
      </c>
      <c r="I85" s="6">
        <v>70.658420000000007</v>
      </c>
      <c r="J85" s="12" t="s">
        <v>13</v>
      </c>
      <c r="K85" s="11" t="s">
        <v>91</v>
      </c>
      <c r="L85" s="11" t="s">
        <v>433</v>
      </c>
      <c r="M85" s="11" t="s">
        <v>291</v>
      </c>
      <c r="N85" s="39">
        <f t="shared" si="1"/>
        <v>4</v>
      </c>
      <c r="O85" s="41" t="s">
        <v>717</v>
      </c>
      <c r="P85" s="42" t="s">
        <v>717</v>
      </c>
      <c r="Q85" s="43" t="s">
        <v>717</v>
      </c>
      <c r="R85" s="44" t="s">
        <v>717</v>
      </c>
      <c r="S85" s="46" t="s">
        <v>717</v>
      </c>
      <c r="T85" s="46" t="s">
        <v>717</v>
      </c>
      <c r="U85" s="46" t="s">
        <v>717</v>
      </c>
      <c r="V85" s="46" t="s">
        <v>717</v>
      </c>
      <c r="W85" s="48" t="s">
        <v>717</v>
      </c>
      <c r="X85" s="49" t="s">
        <v>717</v>
      </c>
      <c r="Y85" s="50" t="s">
        <v>717</v>
      </c>
      <c r="Z85" s="51" t="s">
        <v>717</v>
      </c>
      <c r="AA85" s="53" t="s">
        <v>717</v>
      </c>
      <c r="AB85" s="54" t="s">
        <v>717</v>
      </c>
      <c r="AC85" s="55" t="s">
        <v>717</v>
      </c>
      <c r="AD85" s="56" t="s">
        <v>717</v>
      </c>
      <c r="AE85" s="58" t="s">
        <v>717</v>
      </c>
      <c r="AF85" s="59" t="s">
        <v>717</v>
      </c>
      <c r="AG85" s="60" t="s">
        <v>717</v>
      </c>
      <c r="AH85" s="61" t="s">
        <v>717</v>
      </c>
      <c r="AI85" s="64">
        <v>4</v>
      </c>
      <c r="AJ85" s="66"/>
      <c r="AK85" s="22" t="s">
        <v>717</v>
      </c>
      <c r="AL85" s="23"/>
      <c r="AM85" s="23" t="s">
        <v>656</v>
      </c>
    </row>
    <row r="86" spans="1:41" s="3" customFormat="1" ht="14.5" x14ac:dyDescent="0.35">
      <c r="A86" s="24">
        <v>80</v>
      </c>
      <c r="B86" s="11" t="s">
        <v>5</v>
      </c>
      <c r="C86" s="11" t="s">
        <v>115</v>
      </c>
      <c r="D86" s="11">
        <v>102463</v>
      </c>
      <c r="E86" s="11">
        <v>48219</v>
      </c>
      <c r="F86" s="20" t="s">
        <v>559</v>
      </c>
      <c r="G86" s="20" t="s">
        <v>739</v>
      </c>
      <c r="H86" s="6">
        <v>28.693460000000002</v>
      </c>
      <c r="I86" s="6">
        <v>70.658349999999999</v>
      </c>
      <c r="J86" s="12" t="s">
        <v>13</v>
      </c>
      <c r="K86" s="11" t="s">
        <v>91</v>
      </c>
      <c r="L86" s="11" t="s">
        <v>433</v>
      </c>
      <c r="M86" s="11" t="s">
        <v>268</v>
      </c>
      <c r="N86" s="39">
        <f t="shared" si="1"/>
        <v>3</v>
      </c>
      <c r="O86" s="41" t="s">
        <v>717</v>
      </c>
      <c r="P86" s="42" t="s">
        <v>717</v>
      </c>
      <c r="Q86" s="43" t="s">
        <v>717</v>
      </c>
      <c r="R86" s="44" t="s">
        <v>717</v>
      </c>
      <c r="S86" s="46" t="s">
        <v>717</v>
      </c>
      <c r="T86" s="46" t="s">
        <v>717</v>
      </c>
      <c r="U86" s="46" t="s">
        <v>717</v>
      </c>
      <c r="V86" s="46" t="s">
        <v>717</v>
      </c>
      <c r="W86" s="48" t="s">
        <v>717</v>
      </c>
      <c r="X86" s="49" t="s">
        <v>717</v>
      </c>
      <c r="Y86" s="50" t="s">
        <v>717</v>
      </c>
      <c r="Z86" s="51" t="s">
        <v>717</v>
      </c>
      <c r="AA86" s="53" t="s">
        <v>717</v>
      </c>
      <c r="AB86" s="54" t="s">
        <v>717</v>
      </c>
      <c r="AC86" s="55" t="s">
        <v>717</v>
      </c>
      <c r="AD86" s="56" t="s">
        <v>717</v>
      </c>
      <c r="AE86" s="58" t="s">
        <v>717</v>
      </c>
      <c r="AF86" s="59" t="s">
        <v>717</v>
      </c>
      <c r="AG86" s="60" t="s">
        <v>717</v>
      </c>
      <c r="AH86" s="61" t="s">
        <v>717</v>
      </c>
      <c r="AI86" s="64">
        <v>3</v>
      </c>
      <c r="AJ86" s="66"/>
      <c r="AK86" s="22" t="s">
        <v>717</v>
      </c>
      <c r="AL86" s="23"/>
      <c r="AM86" s="23" t="s">
        <v>668</v>
      </c>
    </row>
    <row r="87" spans="1:41" s="3" customFormat="1" ht="14.5" x14ac:dyDescent="0.35">
      <c r="A87" s="24">
        <v>81</v>
      </c>
      <c r="B87" s="11" t="s">
        <v>5</v>
      </c>
      <c r="C87" s="11" t="s">
        <v>395</v>
      </c>
      <c r="D87" s="11">
        <v>117099</v>
      </c>
      <c r="E87" s="11">
        <v>48221</v>
      </c>
      <c r="F87" s="20" t="s">
        <v>559</v>
      </c>
      <c r="G87" s="20" t="s">
        <v>739</v>
      </c>
      <c r="H87" s="6">
        <v>28.63663</v>
      </c>
      <c r="I87" s="6">
        <v>70.635710000000003</v>
      </c>
      <c r="J87" s="12" t="s">
        <v>408</v>
      </c>
      <c r="K87" s="11" t="s">
        <v>91</v>
      </c>
      <c r="L87" s="11" t="s">
        <v>433</v>
      </c>
      <c r="M87" s="11" t="s">
        <v>396</v>
      </c>
      <c r="N87" s="39">
        <f t="shared" si="1"/>
        <v>4</v>
      </c>
      <c r="O87" s="41" t="s">
        <v>717</v>
      </c>
      <c r="P87" s="42" t="s">
        <v>717</v>
      </c>
      <c r="Q87" s="43" t="s">
        <v>717</v>
      </c>
      <c r="R87" s="44" t="s">
        <v>717</v>
      </c>
      <c r="S87" s="46" t="s">
        <v>717</v>
      </c>
      <c r="T87" s="46" t="s">
        <v>717</v>
      </c>
      <c r="U87" s="46" t="s">
        <v>717</v>
      </c>
      <c r="V87" s="46" t="s">
        <v>717</v>
      </c>
      <c r="W87" s="48" t="s">
        <v>717</v>
      </c>
      <c r="X87" s="49" t="s">
        <v>717</v>
      </c>
      <c r="Y87" s="50" t="s">
        <v>717</v>
      </c>
      <c r="Z87" s="51" t="s">
        <v>717</v>
      </c>
      <c r="AA87" s="53" t="s">
        <v>717</v>
      </c>
      <c r="AB87" s="54" t="s">
        <v>717</v>
      </c>
      <c r="AC87" s="55" t="s">
        <v>717</v>
      </c>
      <c r="AD87" s="56" t="s">
        <v>717</v>
      </c>
      <c r="AE87" s="58" t="s">
        <v>717</v>
      </c>
      <c r="AF87" s="59" t="s">
        <v>717</v>
      </c>
      <c r="AG87" s="60" t="s">
        <v>717</v>
      </c>
      <c r="AH87" s="61" t="s">
        <v>717</v>
      </c>
      <c r="AI87" s="64">
        <v>4</v>
      </c>
      <c r="AJ87" s="66"/>
      <c r="AK87" s="22" t="s">
        <v>717</v>
      </c>
      <c r="AL87" s="23"/>
      <c r="AM87" s="23" t="s">
        <v>703</v>
      </c>
    </row>
    <row r="88" spans="1:41" s="3" customFormat="1" ht="14.5" x14ac:dyDescent="0.35">
      <c r="A88" s="24">
        <v>82</v>
      </c>
      <c r="B88" s="11" t="s">
        <v>5</v>
      </c>
      <c r="C88" s="14" t="s">
        <v>483</v>
      </c>
      <c r="D88" s="11">
        <v>116825</v>
      </c>
      <c r="E88" s="11">
        <v>48222</v>
      </c>
      <c r="F88" s="20" t="s">
        <v>560</v>
      </c>
      <c r="G88" s="20" t="s">
        <v>738</v>
      </c>
      <c r="H88" s="6">
        <v>28.908609999999999</v>
      </c>
      <c r="I88" s="6">
        <v>70.682609999999997</v>
      </c>
      <c r="J88" s="12" t="s">
        <v>408</v>
      </c>
      <c r="K88" s="11" t="s">
        <v>91</v>
      </c>
      <c r="L88" s="11" t="s">
        <v>433</v>
      </c>
      <c r="M88" s="11" t="s">
        <v>264</v>
      </c>
      <c r="N88" s="39">
        <f t="shared" si="1"/>
        <v>3</v>
      </c>
      <c r="O88" s="41" t="s">
        <v>592</v>
      </c>
      <c r="P88" s="42">
        <v>0</v>
      </c>
      <c r="Q88" s="43">
        <v>3</v>
      </c>
      <c r="R88" s="44">
        <v>0</v>
      </c>
      <c r="S88" s="46" t="s">
        <v>717</v>
      </c>
      <c r="T88" s="46" t="s">
        <v>717</v>
      </c>
      <c r="U88" s="46" t="s">
        <v>717</v>
      </c>
      <c r="V88" s="46" t="s">
        <v>717</v>
      </c>
      <c r="W88" s="48" t="s">
        <v>717</v>
      </c>
      <c r="X88" s="49" t="s">
        <v>717</v>
      </c>
      <c r="Y88" s="50" t="s">
        <v>717</v>
      </c>
      <c r="Z88" s="51" t="s">
        <v>717</v>
      </c>
      <c r="AA88" s="53" t="s">
        <v>717</v>
      </c>
      <c r="AB88" s="54" t="s">
        <v>717</v>
      </c>
      <c r="AC88" s="55" t="s">
        <v>717</v>
      </c>
      <c r="AD88" s="56" t="s">
        <v>717</v>
      </c>
      <c r="AE88" s="58" t="s">
        <v>717</v>
      </c>
      <c r="AF88" s="59" t="s">
        <v>717</v>
      </c>
      <c r="AG88" s="60" t="s">
        <v>717</v>
      </c>
      <c r="AH88" s="61" t="s">
        <v>717</v>
      </c>
      <c r="AI88" s="64"/>
      <c r="AJ88" s="66"/>
      <c r="AK88" s="22">
        <v>3</v>
      </c>
      <c r="AL88" s="23"/>
      <c r="AM88" s="23"/>
      <c r="AN88" s="123">
        <f>N88-AK88</f>
        <v>0</v>
      </c>
    </row>
    <row r="89" spans="1:41" s="3" customFormat="1" ht="14.5" x14ac:dyDescent="0.35">
      <c r="A89" s="24">
        <v>83</v>
      </c>
      <c r="B89" s="11" t="s">
        <v>5</v>
      </c>
      <c r="C89" s="11" t="s">
        <v>505</v>
      </c>
      <c r="D89" s="11">
        <v>112202</v>
      </c>
      <c r="E89" s="11">
        <v>48227</v>
      </c>
      <c r="F89" s="20" t="s">
        <v>560</v>
      </c>
      <c r="G89" s="20" t="s">
        <v>738</v>
      </c>
      <c r="H89" s="6">
        <v>28.783539999999999</v>
      </c>
      <c r="I89" s="6">
        <v>70.513639999999995</v>
      </c>
      <c r="J89" s="12" t="s">
        <v>91</v>
      </c>
      <c r="K89" s="11" t="s">
        <v>91</v>
      </c>
      <c r="L89" s="11" t="s">
        <v>433</v>
      </c>
      <c r="M89" s="11" t="s">
        <v>297</v>
      </c>
      <c r="N89" s="39">
        <f t="shared" si="1"/>
        <v>3</v>
      </c>
      <c r="O89" s="41" t="s">
        <v>597</v>
      </c>
      <c r="P89" s="42">
        <v>0</v>
      </c>
      <c r="Q89" s="43">
        <v>3</v>
      </c>
      <c r="R89" s="44">
        <v>0</v>
      </c>
      <c r="S89" s="46" t="s">
        <v>717</v>
      </c>
      <c r="T89" s="46" t="s">
        <v>717</v>
      </c>
      <c r="U89" s="46" t="s">
        <v>717</v>
      </c>
      <c r="V89" s="46" t="s">
        <v>717</v>
      </c>
      <c r="W89" s="48" t="s">
        <v>717</v>
      </c>
      <c r="X89" s="49" t="s">
        <v>717</v>
      </c>
      <c r="Y89" s="50" t="s">
        <v>717</v>
      </c>
      <c r="Z89" s="51" t="s">
        <v>717</v>
      </c>
      <c r="AA89" s="53" t="s">
        <v>717</v>
      </c>
      <c r="AB89" s="54" t="s">
        <v>717</v>
      </c>
      <c r="AC89" s="55" t="s">
        <v>717</v>
      </c>
      <c r="AD89" s="56" t="s">
        <v>717</v>
      </c>
      <c r="AE89" s="58" t="s">
        <v>717</v>
      </c>
      <c r="AF89" s="59" t="s">
        <v>717</v>
      </c>
      <c r="AG89" s="60" t="s">
        <v>717</v>
      </c>
      <c r="AH89" s="61" t="s">
        <v>717</v>
      </c>
      <c r="AI89" s="64"/>
      <c r="AJ89" s="66"/>
      <c r="AK89" s="22">
        <v>3</v>
      </c>
      <c r="AL89" s="23"/>
      <c r="AM89" s="23"/>
      <c r="AN89" s="123">
        <f>N89-AK89</f>
        <v>0</v>
      </c>
    </row>
    <row r="90" spans="1:41" s="3" customFormat="1" ht="14.5" x14ac:dyDescent="0.35">
      <c r="A90" s="24">
        <v>84</v>
      </c>
      <c r="B90" s="11" t="s">
        <v>5</v>
      </c>
      <c r="C90" s="11" t="s">
        <v>58</v>
      </c>
      <c r="D90" s="11">
        <v>103738</v>
      </c>
      <c r="E90" s="11">
        <v>48229</v>
      </c>
      <c r="F90" s="20" t="s">
        <v>559</v>
      </c>
      <c r="G90" s="20" t="s">
        <v>739</v>
      </c>
      <c r="H90" s="6">
        <v>28.987729999999999</v>
      </c>
      <c r="I90" s="6">
        <v>70.766220000000004</v>
      </c>
      <c r="J90" s="12" t="s">
        <v>13</v>
      </c>
      <c r="K90" s="11" t="s">
        <v>6</v>
      </c>
      <c r="L90" s="11" t="s">
        <v>433</v>
      </c>
      <c r="M90" s="11" t="s">
        <v>59</v>
      </c>
      <c r="N90" s="39">
        <f t="shared" si="1"/>
        <v>3</v>
      </c>
      <c r="O90" s="41" t="s">
        <v>717</v>
      </c>
      <c r="P90" s="42" t="s">
        <v>717</v>
      </c>
      <c r="Q90" s="43" t="s">
        <v>717</v>
      </c>
      <c r="R90" s="44" t="s">
        <v>717</v>
      </c>
      <c r="S90" s="46" t="s">
        <v>717</v>
      </c>
      <c r="T90" s="46" t="s">
        <v>717</v>
      </c>
      <c r="U90" s="46" t="s">
        <v>717</v>
      </c>
      <c r="V90" s="46" t="s">
        <v>717</v>
      </c>
      <c r="W90" s="48" t="s">
        <v>717</v>
      </c>
      <c r="X90" s="49" t="s">
        <v>717</v>
      </c>
      <c r="Y90" s="50" t="s">
        <v>717</v>
      </c>
      <c r="Z90" s="51" t="s">
        <v>717</v>
      </c>
      <c r="AA90" s="53" t="s">
        <v>717</v>
      </c>
      <c r="AB90" s="54" t="s">
        <v>717</v>
      </c>
      <c r="AC90" s="55" t="s">
        <v>717</v>
      </c>
      <c r="AD90" s="56" t="s">
        <v>717</v>
      </c>
      <c r="AE90" s="58" t="s">
        <v>717</v>
      </c>
      <c r="AF90" s="59" t="s">
        <v>717</v>
      </c>
      <c r="AG90" s="60" t="s">
        <v>717</v>
      </c>
      <c r="AH90" s="61" t="s">
        <v>717</v>
      </c>
      <c r="AI90" s="64">
        <v>3</v>
      </c>
      <c r="AJ90" s="66"/>
      <c r="AK90" s="22" t="s">
        <v>717</v>
      </c>
      <c r="AL90" s="23"/>
      <c r="AM90" s="23" t="s">
        <v>695</v>
      </c>
    </row>
    <row r="91" spans="1:41" s="3" customFormat="1" ht="14.5" x14ac:dyDescent="0.35">
      <c r="A91" s="24">
        <v>85</v>
      </c>
      <c r="B91" s="11" t="s">
        <v>5</v>
      </c>
      <c r="C91" s="11" t="s">
        <v>533</v>
      </c>
      <c r="D91" s="11">
        <v>119534</v>
      </c>
      <c r="E91" s="11">
        <v>48231</v>
      </c>
      <c r="F91" s="20" t="s">
        <v>560</v>
      </c>
      <c r="G91" s="20" t="s">
        <v>738</v>
      </c>
      <c r="H91" s="6">
        <v>29.400884900000001</v>
      </c>
      <c r="I91" s="6">
        <v>71.655089099999998</v>
      </c>
      <c r="J91" s="12" t="s">
        <v>6</v>
      </c>
      <c r="K91" s="11" t="s">
        <v>6</v>
      </c>
      <c r="L91" s="11" t="s">
        <v>433</v>
      </c>
      <c r="M91" s="11" t="s">
        <v>534</v>
      </c>
      <c r="N91" s="39">
        <f t="shared" si="1"/>
        <v>5</v>
      </c>
      <c r="O91" s="41" t="s">
        <v>601</v>
      </c>
      <c r="P91" s="42">
        <v>0</v>
      </c>
      <c r="Q91" s="43">
        <v>3</v>
      </c>
      <c r="R91" s="44">
        <v>0</v>
      </c>
      <c r="S91" s="46" t="s">
        <v>717</v>
      </c>
      <c r="T91" s="46" t="s">
        <v>717</v>
      </c>
      <c r="U91" s="46" t="s">
        <v>717</v>
      </c>
      <c r="V91" s="46" t="s">
        <v>717</v>
      </c>
      <c r="W91" s="48" t="s">
        <v>717</v>
      </c>
      <c r="X91" s="49" t="s">
        <v>717</v>
      </c>
      <c r="Y91" s="50" t="s">
        <v>717</v>
      </c>
      <c r="Z91" s="51" t="s">
        <v>717</v>
      </c>
      <c r="AA91" s="53" t="s">
        <v>717</v>
      </c>
      <c r="AB91" s="54" t="s">
        <v>717</v>
      </c>
      <c r="AC91" s="55" t="s">
        <v>717</v>
      </c>
      <c r="AD91" s="56" t="s">
        <v>717</v>
      </c>
      <c r="AE91" s="58" t="s">
        <v>717</v>
      </c>
      <c r="AF91" s="59" t="s">
        <v>717</v>
      </c>
      <c r="AG91" s="60" t="s">
        <v>717</v>
      </c>
      <c r="AH91" s="61" t="s">
        <v>717</v>
      </c>
      <c r="AI91" s="64">
        <v>2</v>
      </c>
      <c r="AJ91" s="66"/>
      <c r="AK91" s="36">
        <v>3</v>
      </c>
      <c r="AL91" s="23"/>
      <c r="AM91" s="23" t="s">
        <v>684</v>
      </c>
      <c r="AN91" s="123">
        <f>N91-AK91</f>
        <v>2</v>
      </c>
      <c r="AO91" s="31">
        <f>SUM(P91:R91)-AK91</f>
        <v>0</v>
      </c>
    </row>
    <row r="92" spans="1:41" s="3" customFormat="1" ht="14.5" x14ac:dyDescent="0.35">
      <c r="A92" s="24">
        <v>86</v>
      </c>
      <c r="B92" s="11" t="s">
        <v>5</v>
      </c>
      <c r="C92" s="11" t="s">
        <v>35</v>
      </c>
      <c r="D92" s="11">
        <v>102633</v>
      </c>
      <c r="E92" s="11">
        <v>48232</v>
      </c>
      <c r="F92" s="20" t="s">
        <v>560</v>
      </c>
      <c r="G92" s="20" t="s">
        <v>738</v>
      </c>
      <c r="H92" s="6">
        <v>29.700610000000001</v>
      </c>
      <c r="I92" s="6">
        <v>72.554190000000006</v>
      </c>
      <c r="J92" s="12" t="s">
        <v>6</v>
      </c>
      <c r="K92" s="11" t="s">
        <v>6</v>
      </c>
      <c r="L92" s="11" t="s">
        <v>433</v>
      </c>
      <c r="M92" s="11" t="s">
        <v>168</v>
      </c>
      <c r="N92" s="39">
        <f t="shared" si="1"/>
        <v>3</v>
      </c>
      <c r="O92" s="41" t="s">
        <v>717</v>
      </c>
      <c r="P92" s="42" t="s">
        <v>717</v>
      </c>
      <c r="Q92" s="43" t="s">
        <v>717</v>
      </c>
      <c r="R92" s="44" t="s">
        <v>717</v>
      </c>
      <c r="S92" s="46" t="s">
        <v>717</v>
      </c>
      <c r="T92" s="46" t="s">
        <v>717</v>
      </c>
      <c r="U92" s="46" t="s">
        <v>717</v>
      </c>
      <c r="V92" s="46" t="s">
        <v>717</v>
      </c>
      <c r="W92" s="48" t="s">
        <v>717</v>
      </c>
      <c r="X92" s="49" t="s">
        <v>717</v>
      </c>
      <c r="Y92" s="50" t="s">
        <v>717</v>
      </c>
      <c r="Z92" s="51" t="s">
        <v>717</v>
      </c>
      <c r="AA92" s="53" t="s">
        <v>578</v>
      </c>
      <c r="AB92" s="54">
        <v>0</v>
      </c>
      <c r="AC92" s="55">
        <v>3</v>
      </c>
      <c r="AD92" s="56">
        <v>0</v>
      </c>
      <c r="AE92" s="58" t="s">
        <v>717</v>
      </c>
      <c r="AF92" s="59" t="s">
        <v>717</v>
      </c>
      <c r="AG92" s="60" t="s">
        <v>717</v>
      </c>
      <c r="AH92" s="61" t="s">
        <v>717</v>
      </c>
      <c r="AI92" s="64"/>
      <c r="AJ92" s="66"/>
      <c r="AK92" s="22" t="s">
        <v>717</v>
      </c>
      <c r="AL92" s="23"/>
      <c r="AM92" s="23"/>
    </row>
    <row r="93" spans="1:41" s="3" customFormat="1" ht="14.5" x14ac:dyDescent="0.35">
      <c r="A93" s="24">
        <v>87</v>
      </c>
      <c r="B93" s="11" t="s">
        <v>5</v>
      </c>
      <c r="C93" s="11" t="s">
        <v>75</v>
      </c>
      <c r="D93" s="11">
        <v>102635</v>
      </c>
      <c r="E93" s="11">
        <v>48233</v>
      </c>
      <c r="F93" s="20" t="s">
        <v>560</v>
      </c>
      <c r="G93" s="20" t="s">
        <v>738</v>
      </c>
      <c r="H93" s="6">
        <v>29.364049999999999</v>
      </c>
      <c r="I93" s="6">
        <v>71.627849999999995</v>
      </c>
      <c r="J93" s="12" t="s">
        <v>6</v>
      </c>
      <c r="K93" s="11" t="s">
        <v>6</v>
      </c>
      <c r="L93" s="11" t="s">
        <v>433</v>
      </c>
      <c r="M93" s="11" t="s">
        <v>213</v>
      </c>
      <c r="N93" s="39">
        <f t="shared" si="1"/>
        <v>3</v>
      </c>
      <c r="O93" s="41" t="s">
        <v>717</v>
      </c>
      <c r="P93" s="42" t="s">
        <v>717</v>
      </c>
      <c r="Q93" s="43" t="s">
        <v>717</v>
      </c>
      <c r="R93" s="44" t="s">
        <v>717</v>
      </c>
      <c r="S93" s="46" t="s">
        <v>717</v>
      </c>
      <c r="T93" s="46" t="s">
        <v>717</v>
      </c>
      <c r="U93" s="46" t="s">
        <v>717</v>
      </c>
      <c r="V93" s="46" t="s">
        <v>717</v>
      </c>
      <c r="W93" s="48" t="s">
        <v>717</v>
      </c>
      <c r="X93" s="49" t="s">
        <v>717</v>
      </c>
      <c r="Y93" s="50" t="s">
        <v>717</v>
      </c>
      <c r="Z93" s="51" t="s">
        <v>717</v>
      </c>
      <c r="AA93" s="53" t="s">
        <v>717</v>
      </c>
      <c r="AB93" s="54" t="s">
        <v>717</v>
      </c>
      <c r="AC93" s="55" t="s">
        <v>717</v>
      </c>
      <c r="AD93" s="56" t="s">
        <v>717</v>
      </c>
      <c r="AE93" s="58" t="s">
        <v>602</v>
      </c>
      <c r="AF93" s="59">
        <v>0</v>
      </c>
      <c r="AG93" s="60">
        <v>2</v>
      </c>
      <c r="AH93" s="61">
        <v>0</v>
      </c>
      <c r="AI93" s="64">
        <v>1</v>
      </c>
      <c r="AJ93" s="66"/>
      <c r="AK93" s="22" t="s">
        <v>717</v>
      </c>
      <c r="AL93" s="23"/>
      <c r="AM93" s="23" t="s">
        <v>682</v>
      </c>
    </row>
    <row r="94" spans="1:41" s="3" customFormat="1" ht="14.5" x14ac:dyDescent="0.35">
      <c r="A94" s="24">
        <v>88</v>
      </c>
      <c r="B94" s="11" t="s">
        <v>5</v>
      </c>
      <c r="C94" s="11" t="s">
        <v>539</v>
      </c>
      <c r="D94" s="11">
        <v>119615</v>
      </c>
      <c r="E94" s="11">
        <v>48234</v>
      </c>
      <c r="F94" s="20" t="s">
        <v>560</v>
      </c>
      <c r="G94" s="20" t="s">
        <v>738</v>
      </c>
      <c r="H94" s="6">
        <v>29.709140000000001</v>
      </c>
      <c r="I94" s="6">
        <v>72.552809999999994</v>
      </c>
      <c r="J94" s="12" t="s">
        <v>413</v>
      </c>
      <c r="K94" s="11" t="s">
        <v>6</v>
      </c>
      <c r="L94" s="11" t="s">
        <v>433</v>
      </c>
      <c r="M94" s="11" t="s">
        <v>540</v>
      </c>
      <c r="N94" s="39">
        <f t="shared" si="1"/>
        <v>4</v>
      </c>
      <c r="O94" s="41" t="s">
        <v>592</v>
      </c>
      <c r="P94" s="42">
        <v>0</v>
      </c>
      <c r="Q94" s="43">
        <v>3</v>
      </c>
      <c r="R94" s="44">
        <v>0</v>
      </c>
      <c r="S94" s="46" t="s">
        <v>717</v>
      </c>
      <c r="T94" s="46" t="s">
        <v>717</v>
      </c>
      <c r="U94" s="46" t="s">
        <v>717</v>
      </c>
      <c r="V94" s="46" t="s">
        <v>717</v>
      </c>
      <c r="W94" s="48" t="s">
        <v>717</v>
      </c>
      <c r="X94" s="49" t="s">
        <v>717</v>
      </c>
      <c r="Y94" s="50" t="s">
        <v>717</v>
      </c>
      <c r="Z94" s="51" t="s">
        <v>717</v>
      </c>
      <c r="AA94" s="53" t="s">
        <v>717</v>
      </c>
      <c r="AB94" s="54" t="s">
        <v>717</v>
      </c>
      <c r="AC94" s="55" t="s">
        <v>717</v>
      </c>
      <c r="AD94" s="56" t="s">
        <v>717</v>
      </c>
      <c r="AE94" s="58" t="s">
        <v>717</v>
      </c>
      <c r="AF94" s="59" t="s">
        <v>717</v>
      </c>
      <c r="AG94" s="60" t="s">
        <v>717</v>
      </c>
      <c r="AH94" s="61" t="s">
        <v>717</v>
      </c>
      <c r="AI94" s="64">
        <v>1</v>
      </c>
      <c r="AJ94" s="66"/>
      <c r="AK94" s="22">
        <v>4</v>
      </c>
      <c r="AL94" s="23"/>
      <c r="AM94" s="23" t="s">
        <v>670</v>
      </c>
      <c r="AN94" s="123">
        <f>N94-AK94</f>
        <v>0</v>
      </c>
    </row>
    <row r="95" spans="1:41" s="3" customFormat="1" ht="14.5" x14ac:dyDescent="0.35">
      <c r="A95" s="24">
        <v>89</v>
      </c>
      <c r="B95" s="11" t="s">
        <v>5</v>
      </c>
      <c r="C95" s="11" t="s">
        <v>77</v>
      </c>
      <c r="D95" s="11">
        <v>102943</v>
      </c>
      <c r="E95" s="11">
        <v>48235</v>
      </c>
      <c r="F95" s="20" t="s">
        <v>560</v>
      </c>
      <c r="G95" s="20" t="s">
        <v>738</v>
      </c>
      <c r="H95" s="6">
        <v>29.381185899999998</v>
      </c>
      <c r="I95" s="6">
        <v>71.735304299999996</v>
      </c>
      <c r="J95" s="12" t="s">
        <v>6</v>
      </c>
      <c r="K95" s="11" t="s">
        <v>6</v>
      </c>
      <c r="L95" s="11" t="s">
        <v>433</v>
      </c>
      <c r="M95" s="11" t="s">
        <v>217</v>
      </c>
      <c r="N95" s="39">
        <f t="shared" si="1"/>
        <v>5</v>
      </c>
      <c r="O95" s="41" t="s">
        <v>715</v>
      </c>
      <c r="P95" s="42" t="s">
        <v>717</v>
      </c>
      <c r="Q95" s="43">
        <v>2</v>
      </c>
      <c r="R95" s="44" t="s">
        <v>717</v>
      </c>
      <c r="S95" s="46" t="s">
        <v>714</v>
      </c>
      <c r="T95" s="46" t="s">
        <v>717</v>
      </c>
      <c r="U95" s="46">
        <v>1</v>
      </c>
      <c r="V95" s="46">
        <v>1</v>
      </c>
      <c r="W95" s="48" t="s">
        <v>717</v>
      </c>
      <c r="X95" s="49" t="s">
        <v>717</v>
      </c>
      <c r="Y95" s="50" t="s">
        <v>717</v>
      </c>
      <c r="Z95" s="51" t="s">
        <v>717</v>
      </c>
      <c r="AA95" s="53" t="s">
        <v>717</v>
      </c>
      <c r="AB95" s="54" t="s">
        <v>717</v>
      </c>
      <c r="AC95" s="55" t="s">
        <v>717</v>
      </c>
      <c r="AD95" s="56" t="s">
        <v>717</v>
      </c>
      <c r="AE95" s="58" t="s">
        <v>716</v>
      </c>
      <c r="AF95" s="59" t="s">
        <v>717</v>
      </c>
      <c r="AG95" s="60">
        <v>1</v>
      </c>
      <c r="AH95" s="61" t="s">
        <v>717</v>
      </c>
      <c r="AI95" s="67"/>
      <c r="AJ95" s="66"/>
      <c r="AK95" s="36">
        <v>3</v>
      </c>
      <c r="AL95" s="23"/>
      <c r="AM95" s="23"/>
      <c r="AN95" s="123">
        <f>N95-AK95</f>
        <v>2</v>
      </c>
      <c r="AO95" s="31">
        <f>SUM(P95:R95)-AK95</f>
        <v>-1</v>
      </c>
    </row>
    <row r="96" spans="1:41" s="3" customFormat="1" ht="14.5" x14ac:dyDescent="0.35">
      <c r="A96" s="24">
        <v>90</v>
      </c>
      <c r="B96" s="11" t="s">
        <v>5</v>
      </c>
      <c r="C96" s="11" t="s">
        <v>50</v>
      </c>
      <c r="D96" s="11">
        <v>103203</v>
      </c>
      <c r="E96" s="11">
        <v>48236</v>
      </c>
      <c r="F96" s="20" t="s">
        <v>560</v>
      </c>
      <c r="G96" s="20" t="s">
        <v>740</v>
      </c>
      <c r="H96" s="6">
        <v>29.593350000000001</v>
      </c>
      <c r="I96" s="6">
        <v>72.246629999999996</v>
      </c>
      <c r="J96" s="12" t="s">
        <v>6</v>
      </c>
      <c r="K96" s="11" t="s">
        <v>6</v>
      </c>
      <c r="L96" s="11" t="s">
        <v>433</v>
      </c>
      <c r="M96" s="11" t="s">
        <v>184</v>
      </c>
      <c r="N96" s="39">
        <f t="shared" si="1"/>
        <v>3</v>
      </c>
      <c r="O96" s="41" t="s">
        <v>603</v>
      </c>
      <c r="P96" s="42">
        <v>0</v>
      </c>
      <c r="Q96" s="43">
        <v>3</v>
      </c>
      <c r="R96" s="44">
        <v>0</v>
      </c>
      <c r="S96" s="46" t="s">
        <v>717</v>
      </c>
      <c r="T96" s="46" t="s">
        <v>717</v>
      </c>
      <c r="U96" s="46" t="s">
        <v>717</v>
      </c>
      <c r="V96" s="46" t="s">
        <v>717</v>
      </c>
      <c r="W96" s="48" t="s">
        <v>717</v>
      </c>
      <c r="X96" s="49" t="s">
        <v>717</v>
      </c>
      <c r="Y96" s="50" t="s">
        <v>717</v>
      </c>
      <c r="Z96" s="51" t="s">
        <v>717</v>
      </c>
      <c r="AA96" s="53" t="s">
        <v>717</v>
      </c>
      <c r="AB96" s="54" t="s">
        <v>717</v>
      </c>
      <c r="AC96" s="55" t="s">
        <v>717</v>
      </c>
      <c r="AD96" s="56" t="s">
        <v>717</v>
      </c>
      <c r="AE96" s="58" t="s">
        <v>717</v>
      </c>
      <c r="AF96" s="59" t="s">
        <v>717</v>
      </c>
      <c r="AG96" s="60" t="s">
        <v>717</v>
      </c>
      <c r="AH96" s="61" t="s">
        <v>717</v>
      </c>
      <c r="AI96" s="64"/>
      <c r="AJ96" s="66"/>
      <c r="AK96" s="22">
        <v>3</v>
      </c>
      <c r="AL96" s="23"/>
      <c r="AM96" s="23"/>
      <c r="AN96" s="123">
        <f>N96-AK96</f>
        <v>0</v>
      </c>
    </row>
    <row r="97" spans="1:41" s="3" customFormat="1" ht="14.5" x14ac:dyDescent="0.35">
      <c r="A97" s="24">
        <v>91</v>
      </c>
      <c r="B97" s="11" t="s">
        <v>5</v>
      </c>
      <c r="C97" s="11" t="s">
        <v>506</v>
      </c>
      <c r="D97" s="11">
        <v>113800</v>
      </c>
      <c r="E97" s="11">
        <v>48237</v>
      </c>
      <c r="F97" s="20" t="s">
        <v>560</v>
      </c>
      <c r="G97" s="20" t="s">
        <v>738</v>
      </c>
      <c r="H97" s="6">
        <v>29.699506700000001</v>
      </c>
      <c r="I97" s="6">
        <v>72.553703600000006</v>
      </c>
      <c r="J97" s="12" t="s">
        <v>6</v>
      </c>
      <c r="K97" s="11" t="s">
        <v>6</v>
      </c>
      <c r="L97" s="11" t="s">
        <v>433</v>
      </c>
      <c r="M97" s="11" t="s">
        <v>166</v>
      </c>
      <c r="N97" s="39">
        <f t="shared" si="1"/>
        <v>5</v>
      </c>
      <c r="O97" s="41" t="s">
        <v>598</v>
      </c>
      <c r="P97" s="42">
        <v>0</v>
      </c>
      <c r="Q97" s="43">
        <v>4</v>
      </c>
      <c r="R97" s="44">
        <v>0</v>
      </c>
      <c r="S97" s="46" t="s">
        <v>717</v>
      </c>
      <c r="T97" s="46" t="s">
        <v>717</v>
      </c>
      <c r="U97" s="46" t="s">
        <v>717</v>
      </c>
      <c r="V97" s="46" t="s">
        <v>717</v>
      </c>
      <c r="W97" s="48" t="s">
        <v>717</v>
      </c>
      <c r="X97" s="49" t="s">
        <v>717</v>
      </c>
      <c r="Y97" s="50" t="s">
        <v>717</v>
      </c>
      <c r="Z97" s="51" t="s">
        <v>717</v>
      </c>
      <c r="AA97" s="53" t="s">
        <v>717</v>
      </c>
      <c r="AB97" s="54" t="s">
        <v>717</v>
      </c>
      <c r="AC97" s="55" t="s">
        <v>717</v>
      </c>
      <c r="AD97" s="56" t="s">
        <v>717</v>
      </c>
      <c r="AE97" s="58" t="s">
        <v>717</v>
      </c>
      <c r="AF97" s="59" t="s">
        <v>717</v>
      </c>
      <c r="AG97" s="60" t="s">
        <v>717</v>
      </c>
      <c r="AH97" s="61" t="s">
        <v>717</v>
      </c>
      <c r="AI97" s="64">
        <v>1</v>
      </c>
      <c r="AJ97" s="66"/>
      <c r="AK97" s="22">
        <v>5</v>
      </c>
      <c r="AL97" s="23"/>
      <c r="AM97" s="23" t="s">
        <v>680</v>
      </c>
      <c r="AN97" s="123">
        <f>N97-AK97</f>
        <v>0</v>
      </c>
    </row>
    <row r="98" spans="1:41" s="3" customFormat="1" ht="14.5" x14ac:dyDescent="0.35">
      <c r="A98" s="24">
        <v>92</v>
      </c>
      <c r="B98" s="11" t="s">
        <v>5</v>
      </c>
      <c r="C98" s="11" t="s">
        <v>427</v>
      </c>
      <c r="D98" s="11">
        <v>102673</v>
      </c>
      <c r="E98" s="11">
        <v>48240</v>
      </c>
      <c r="F98" s="20" t="s">
        <v>560</v>
      </c>
      <c r="G98" s="20" t="s">
        <v>740</v>
      </c>
      <c r="H98" s="6">
        <v>29.390606099999999</v>
      </c>
      <c r="I98" s="6">
        <v>71.670785899999998</v>
      </c>
      <c r="J98" s="12" t="s">
        <v>6</v>
      </c>
      <c r="K98" s="11" t="s">
        <v>6</v>
      </c>
      <c r="L98" s="11" t="s">
        <v>433</v>
      </c>
      <c r="M98" s="11" t="s">
        <v>428</v>
      </c>
      <c r="N98" s="39">
        <f t="shared" si="1"/>
        <v>4</v>
      </c>
      <c r="O98" s="41" t="s">
        <v>604</v>
      </c>
      <c r="P98" s="42">
        <v>0</v>
      </c>
      <c r="Q98" s="43">
        <v>4</v>
      </c>
      <c r="R98" s="44">
        <v>0</v>
      </c>
      <c r="S98" s="46" t="s">
        <v>717</v>
      </c>
      <c r="T98" s="46" t="s">
        <v>717</v>
      </c>
      <c r="U98" s="46" t="s">
        <v>717</v>
      </c>
      <c r="V98" s="46" t="s">
        <v>717</v>
      </c>
      <c r="W98" s="48" t="s">
        <v>717</v>
      </c>
      <c r="X98" s="49" t="s">
        <v>717</v>
      </c>
      <c r="Y98" s="50" t="s">
        <v>717</v>
      </c>
      <c r="Z98" s="51" t="s">
        <v>717</v>
      </c>
      <c r="AA98" s="53" t="s">
        <v>717</v>
      </c>
      <c r="AB98" s="54" t="s">
        <v>717</v>
      </c>
      <c r="AC98" s="55" t="s">
        <v>717</v>
      </c>
      <c r="AD98" s="56" t="s">
        <v>717</v>
      </c>
      <c r="AE98" s="58" t="s">
        <v>717</v>
      </c>
      <c r="AF98" s="59" t="s">
        <v>717</v>
      </c>
      <c r="AG98" s="60" t="s">
        <v>717</v>
      </c>
      <c r="AH98" s="61" t="s">
        <v>717</v>
      </c>
      <c r="AI98" s="64"/>
      <c r="AJ98" s="66"/>
      <c r="AK98" s="22">
        <v>4</v>
      </c>
      <c r="AL98" s="23"/>
      <c r="AM98" s="23"/>
      <c r="AN98" s="123">
        <f>N98-AK98</f>
        <v>0</v>
      </c>
    </row>
    <row r="99" spans="1:41" s="3" customFormat="1" ht="14.5" x14ac:dyDescent="0.35">
      <c r="A99" s="24">
        <v>93</v>
      </c>
      <c r="B99" s="11" t="s">
        <v>5</v>
      </c>
      <c r="C99" s="11" t="s">
        <v>71</v>
      </c>
      <c r="D99" s="11">
        <v>117437</v>
      </c>
      <c r="E99" s="11">
        <v>48241</v>
      </c>
      <c r="F99" s="20" t="s">
        <v>560</v>
      </c>
      <c r="G99" s="20" t="s">
        <v>738</v>
      </c>
      <c r="H99" s="6">
        <v>29.4060843</v>
      </c>
      <c r="I99" s="6">
        <v>71.638921300000007</v>
      </c>
      <c r="J99" s="12" t="s">
        <v>6</v>
      </c>
      <c r="K99" s="11" t="s">
        <v>6</v>
      </c>
      <c r="L99" s="11" t="s">
        <v>433</v>
      </c>
      <c r="M99" s="11" t="s">
        <v>417</v>
      </c>
      <c r="N99" s="39">
        <f t="shared" si="1"/>
        <v>4</v>
      </c>
      <c r="O99" s="41" t="s">
        <v>717</v>
      </c>
      <c r="P99" s="42" t="s">
        <v>717</v>
      </c>
      <c r="Q99" s="43" t="s">
        <v>717</v>
      </c>
      <c r="R99" s="44" t="s">
        <v>717</v>
      </c>
      <c r="S99" s="46" t="s">
        <v>584</v>
      </c>
      <c r="T99" s="46">
        <v>1</v>
      </c>
      <c r="U99" s="46">
        <v>3</v>
      </c>
      <c r="V99" s="46">
        <v>0</v>
      </c>
      <c r="W99" s="48" t="s">
        <v>717</v>
      </c>
      <c r="X99" s="49" t="s">
        <v>717</v>
      </c>
      <c r="Y99" s="50" t="s">
        <v>717</v>
      </c>
      <c r="Z99" s="51" t="s">
        <v>717</v>
      </c>
      <c r="AA99" s="53" t="s">
        <v>717</v>
      </c>
      <c r="AB99" s="54" t="s">
        <v>717</v>
      </c>
      <c r="AC99" s="55" t="s">
        <v>717</v>
      </c>
      <c r="AD99" s="56" t="s">
        <v>717</v>
      </c>
      <c r="AE99" s="58" t="s">
        <v>717</v>
      </c>
      <c r="AF99" s="59" t="s">
        <v>717</v>
      </c>
      <c r="AG99" s="60" t="s">
        <v>717</v>
      </c>
      <c r="AH99" s="61" t="s">
        <v>717</v>
      </c>
      <c r="AI99" s="64"/>
      <c r="AJ99" s="66"/>
      <c r="AK99" s="22" t="s">
        <v>717</v>
      </c>
      <c r="AL99" s="23"/>
      <c r="AM99" s="23"/>
    </row>
    <row r="100" spans="1:41" s="3" customFormat="1" ht="14.5" x14ac:dyDescent="0.35">
      <c r="A100" s="24">
        <v>94</v>
      </c>
      <c r="B100" s="11" t="s">
        <v>5</v>
      </c>
      <c r="C100" s="24" t="s">
        <v>81</v>
      </c>
      <c r="D100" s="11">
        <v>119817</v>
      </c>
      <c r="E100" s="11">
        <v>48242</v>
      </c>
      <c r="F100" s="20" t="s">
        <v>560</v>
      </c>
      <c r="G100" s="20" t="s">
        <v>738</v>
      </c>
      <c r="H100" s="6">
        <v>29.434439999999999</v>
      </c>
      <c r="I100" s="6">
        <v>71.649780000000007</v>
      </c>
      <c r="J100" s="12" t="s">
        <v>6</v>
      </c>
      <c r="K100" s="11" t="s">
        <v>6</v>
      </c>
      <c r="L100" s="11" t="s">
        <v>433</v>
      </c>
      <c r="M100" s="11" t="s">
        <v>221</v>
      </c>
      <c r="N100" s="39">
        <f t="shared" si="1"/>
        <v>5</v>
      </c>
      <c r="O100" s="41" t="s">
        <v>593</v>
      </c>
      <c r="P100" s="42">
        <v>0</v>
      </c>
      <c r="Q100" s="43">
        <v>4</v>
      </c>
      <c r="R100" s="44">
        <v>0</v>
      </c>
      <c r="S100" s="46" t="s">
        <v>717</v>
      </c>
      <c r="T100" s="46" t="s">
        <v>717</v>
      </c>
      <c r="U100" s="46" t="s">
        <v>717</v>
      </c>
      <c r="V100" s="46" t="s">
        <v>717</v>
      </c>
      <c r="W100" s="48" t="s">
        <v>717</v>
      </c>
      <c r="X100" s="49" t="s">
        <v>717</v>
      </c>
      <c r="Y100" s="50" t="s">
        <v>717</v>
      </c>
      <c r="Z100" s="51" t="s">
        <v>717</v>
      </c>
      <c r="AA100" s="53" t="s">
        <v>717</v>
      </c>
      <c r="AB100" s="54" t="s">
        <v>717</v>
      </c>
      <c r="AC100" s="55" t="s">
        <v>717</v>
      </c>
      <c r="AD100" s="56" t="s">
        <v>717</v>
      </c>
      <c r="AE100" s="58" t="s">
        <v>717</v>
      </c>
      <c r="AF100" s="59" t="s">
        <v>717</v>
      </c>
      <c r="AG100" s="60" t="s">
        <v>717</v>
      </c>
      <c r="AH100" s="61" t="s">
        <v>717</v>
      </c>
      <c r="AI100" s="64">
        <v>1</v>
      </c>
      <c r="AJ100" s="66"/>
      <c r="AK100" s="36">
        <v>3</v>
      </c>
      <c r="AL100" s="23"/>
      <c r="AM100" s="23" t="s">
        <v>652</v>
      </c>
      <c r="AN100" s="123">
        <f>N100-AK100</f>
        <v>2</v>
      </c>
      <c r="AO100" s="31">
        <f>SUM(P100:R100)-AK100</f>
        <v>1</v>
      </c>
    </row>
    <row r="101" spans="1:41" s="3" customFormat="1" ht="14.5" x14ac:dyDescent="0.35">
      <c r="A101" s="24">
        <v>95</v>
      </c>
      <c r="B101" s="11" t="s">
        <v>5</v>
      </c>
      <c r="C101" s="11" t="s">
        <v>30</v>
      </c>
      <c r="D101" s="11">
        <v>119069</v>
      </c>
      <c r="E101" s="11">
        <v>48243</v>
      </c>
      <c r="F101" s="20" t="s">
        <v>559</v>
      </c>
      <c r="G101" s="20" t="s">
        <v>739</v>
      </c>
      <c r="H101" s="6">
        <v>29.715910000000001</v>
      </c>
      <c r="I101" s="6">
        <v>72.31371</v>
      </c>
      <c r="J101" s="12" t="s">
        <v>305</v>
      </c>
      <c r="K101" s="11" t="s">
        <v>6</v>
      </c>
      <c r="L101" s="11" t="s">
        <v>433</v>
      </c>
      <c r="M101" s="11" t="s">
        <v>458</v>
      </c>
      <c r="N101" s="39">
        <f t="shared" si="1"/>
        <v>3</v>
      </c>
      <c r="O101" s="41" t="s">
        <v>717</v>
      </c>
      <c r="P101" s="42" t="s">
        <v>717</v>
      </c>
      <c r="Q101" s="43" t="s">
        <v>717</v>
      </c>
      <c r="R101" s="44" t="s">
        <v>717</v>
      </c>
      <c r="S101" s="46" t="s">
        <v>717</v>
      </c>
      <c r="T101" s="46" t="s">
        <v>717</v>
      </c>
      <c r="U101" s="46" t="s">
        <v>717</v>
      </c>
      <c r="V101" s="46" t="s">
        <v>717</v>
      </c>
      <c r="W101" s="48" t="s">
        <v>717</v>
      </c>
      <c r="X101" s="49" t="s">
        <v>717</v>
      </c>
      <c r="Y101" s="50" t="s">
        <v>717</v>
      </c>
      <c r="Z101" s="51" t="s">
        <v>717</v>
      </c>
      <c r="AA101" s="53" t="s">
        <v>717</v>
      </c>
      <c r="AB101" s="54" t="s">
        <v>717</v>
      </c>
      <c r="AC101" s="55" t="s">
        <v>717</v>
      </c>
      <c r="AD101" s="56" t="s">
        <v>717</v>
      </c>
      <c r="AE101" s="58" t="s">
        <v>717</v>
      </c>
      <c r="AF101" s="59" t="s">
        <v>717</v>
      </c>
      <c r="AG101" s="60" t="s">
        <v>717</v>
      </c>
      <c r="AH101" s="61" t="s">
        <v>717</v>
      </c>
      <c r="AI101" s="64">
        <v>3</v>
      </c>
      <c r="AJ101" s="66"/>
      <c r="AK101" s="22" t="s">
        <v>717</v>
      </c>
      <c r="AL101" s="23"/>
      <c r="AM101" s="23" t="s">
        <v>620</v>
      </c>
    </row>
    <row r="102" spans="1:41" s="3" customFormat="1" ht="14.5" x14ac:dyDescent="0.35">
      <c r="A102" s="24">
        <v>96</v>
      </c>
      <c r="B102" s="11" t="s">
        <v>5</v>
      </c>
      <c r="C102" s="12" t="s">
        <v>360</v>
      </c>
      <c r="D102" s="11">
        <v>114684</v>
      </c>
      <c r="E102" s="11">
        <v>48244</v>
      </c>
      <c r="F102" s="20" t="s">
        <v>559</v>
      </c>
      <c r="G102" s="20" t="s">
        <v>739</v>
      </c>
      <c r="H102" s="6">
        <v>29.78369</v>
      </c>
      <c r="I102" s="6">
        <v>72.408050000000003</v>
      </c>
      <c r="J102" s="12" t="s">
        <v>6</v>
      </c>
      <c r="K102" s="11" t="s">
        <v>6</v>
      </c>
      <c r="L102" s="11" t="s">
        <v>433</v>
      </c>
      <c r="M102" s="11" t="s">
        <v>189</v>
      </c>
      <c r="N102" s="39">
        <f t="shared" si="1"/>
        <v>2</v>
      </c>
      <c r="O102" s="41" t="s">
        <v>717</v>
      </c>
      <c r="P102" s="42" t="s">
        <v>717</v>
      </c>
      <c r="Q102" s="43" t="s">
        <v>717</v>
      </c>
      <c r="R102" s="44" t="s">
        <v>717</v>
      </c>
      <c r="S102" s="46" t="s">
        <v>717</v>
      </c>
      <c r="T102" s="46" t="s">
        <v>717</v>
      </c>
      <c r="U102" s="46" t="s">
        <v>717</v>
      </c>
      <c r="V102" s="46" t="s">
        <v>717</v>
      </c>
      <c r="W102" s="48" t="s">
        <v>717</v>
      </c>
      <c r="X102" s="49" t="s">
        <v>717</v>
      </c>
      <c r="Y102" s="50" t="s">
        <v>717</v>
      </c>
      <c r="Z102" s="51" t="s">
        <v>717</v>
      </c>
      <c r="AA102" s="53" t="s">
        <v>717</v>
      </c>
      <c r="AB102" s="54" t="s">
        <v>717</v>
      </c>
      <c r="AC102" s="55" t="s">
        <v>717</v>
      </c>
      <c r="AD102" s="56" t="s">
        <v>717</v>
      </c>
      <c r="AE102" s="58" t="s">
        <v>717</v>
      </c>
      <c r="AF102" s="59" t="s">
        <v>717</v>
      </c>
      <c r="AG102" s="60" t="s">
        <v>717</v>
      </c>
      <c r="AH102" s="61" t="s">
        <v>717</v>
      </c>
      <c r="AI102" s="64">
        <v>2</v>
      </c>
      <c r="AJ102" s="66"/>
      <c r="AK102" s="22" t="s">
        <v>717</v>
      </c>
      <c r="AL102" s="23"/>
      <c r="AM102" s="23" t="s">
        <v>618</v>
      </c>
    </row>
    <row r="103" spans="1:41" s="3" customFormat="1" ht="14.5" x14ac:dyDescent="0.35">
      <c r="A103" s="24">
        <v>97</v>
      </c>
      <c r="B103" s="11" t="s">
        <v>5</v>
      </c>
      <c r="C103" s="11" t="s">
        <v>39</v>
      </c>
      <c r="D103" s="11">
        <v>102903</v>
      </c>
      <c r="E103" s="11">
        <v>48245</v>
      </c>
      <c r="F103" s="20" t="s">
        <v>559</v>
      </c>
      <c r="G103" s="20" t="s">
        <v>739</v>
      </c>
      <c r="H103" s="6">
        <v>29.593083499999999</v>
      </c>
      <c r="I103" s="6">
        <v>72.583399400000005</v>
      </c>
      <c r="J103" s="12" t="s">
        <v>6</v>
      </c>
      <c r="K103" s="11" t="s">
        <v>6</v>
      </c>
      <c r="L103" s="11" t="s">
        <v>433</v>
      </c>
      <c r="M103" s="11" t="s">
        <v>174</v>
      </c>
      <c r="N103" s="39">
        <f t="shared" si="1"/>
        <v>4</v>
      </c>
      <c r="O103" s="41" t="s">
        <v>717</v>
      </c>
      <c r="P103" s="42" t="s">
        <v>717</v>
      </c>
      <c r="Q103" s="43" t="s">
        <v>717</v>
      </c>
      <c r="R103" s="44" t="s">
        <v>717</v>
      </c>
      <c r="S103" s="46" t="s">
        <v>717</v>
      </c>
      <c r="T103" s="46" t="s">
        <v>717</v>
      </c>
      <c r="U103" s="46" t="s">
        <v>717</v>
      </c>
      <c r="V103" s="46" t="s">
        <v>717</v>
      </c>
      <c r="W103" s="48" t="s">
        <v>717</v>
      </c>
      <c r="X103" s="49" t="s">
        <v>717</v>
      </c>
      <c r="Y103" s="50" t="s">
        <v>717</v>
      </c>
      <c r="Z103" s="51" t="s">
        <v>717</v>
      </c>
      <c r="AA103" s="53" t="s">
        <v>717</v>
      </c>
      <c r="AB103" s="54" t="s">
        <v>717</v>
      </c>
      <c r="AC103" s="55" t="s">
        <v>717</v>
      </c>
      <c r="AD103" s="56" t="s">
        <v>717</v>
      </c>
      <c r="AE103" s="58" t="s">
        <v>717</v>
      </c>
      <c r="AF103" s="59" t="s">
        <v>717</v>
      </c>
      <c r="AG103" s="60" t="s">
        <v>717</v>
      </c>
      <c r="AH103" s="61" t="s">
        <v>717</v>
      </c>
      <c r="AI103" s="64">
        <v>4</v>
      </c>
      <c r="AJ103" s="66"/>
      <c r="AK103" s="22" t="s">
        <v>717</v>
      </c>
      <c r="AL103" s="23"/>
      <c r="AM103" s="23" t="s">
        <v>616</v>
      </c>
    </row>
    <row r="104" spans="1:41" s="3" customFormat="1" ht="14.5" x14ac:dyDescent="0.35">
      <c r="A104" s="24">
        <v>98</v>
      </c>
      <c r="B104" s="11" t="s">
        <v>5</v>
      </c>
      <c r="C104" s="11" t="s">
        <v>575</v>
      </c>
      <c r="D104" s="11">
        <v>119130</v>
      </c>
      <c r="E104" s="11">
        <v>48246</v>
      </c>
      <c r="F104" s="20" t="s">
        <v>560</v>
      </c>
      <c r="G104" s="20" t="s">
        <v>738</v>
      </c>
      <c r="H104" s="6">
        <v>29.561019999999999</v>
      </c>
      <c r="I104" s="6">
        <v>72.191289999999995</v>
      </c>
      <c r="J104" s="12" t="s">
        <v>305</v>
      </c>
      <c r="K104" s="11" t="s">
        <v>6</v>
      </c>
      <c r="L104" s="11" t="s">
        <v>433</v>
      </c>
      <c r="M104" s="11" t="s">
        <v>459</v>
      </c>
      <c r="N104" s="39">
        <f t="shared" si="1"/>
        <v>4</v>
      </c>
      <c r="O104" s="41" t="s">
        <v>592</v>
      </c>
      <c r="P104" s="42">
        <v>0</v>
      </c>
      <c r="Q104" s="43">
        <v>3</v>
      </c>
      <c r="R104" s="44">
        <v>0</v>
      </c>
      <c r="S104" s="46" t="s">
        <v>717</v>
      </c>
      <c r="T104" s="46" t="s">
        <v>717</v>
      </c>
      <c r="U104" s="46" t="s">
        <v>717</v>
      </c>
      <c r="V104" s="46" t="s">
        <v>717</v>
      </c>
      <c r="W104" s="48" t="s">
        <v>717</v>
      </c>
      <c r="X104" s="49" t="s">
        <v>717</v>
      </c>
      <c r="Y104" s="50" t="s">
        <v>717</v>
      </c>
      <c r="Z104" s="51" t="s">
        <v>717</v>
      </c>
      <c r="AA104" s="53" t="s">
        <v>717</v>
      </c>
      <c r="AB104" s="54" t="s">
        <v>717</v>
      </c>
      <c r="AC104" s="55" t="s">
        <v>717</v>
      </c>
      <c r="AD104" s="56" t="s">
        <v>717</v>
      </c>
      <c r="AE104" s="58" t="s">
        <v>717</v>
      </c>
      <c r="AF104" s="59" t="s">
        <v>717</v>
      </c>
      <c r="AG104" s="60" t="s">
        <v>717</v>
      </c>
      <c r="AH104" s="61" t="s">
        <v>717</v>
      </c>
      <c r="AI104" s="64">
        <v>1</v>
      </c>
      <c r="AJ104" s="66"/>
      <c r="AK104" s="36">
        <v>3</v>
      </c>
      <c r="AL104" s="23"/>
      <c r="AM104" s="23" t="s">
        <v>652</v>
      </c>
      <c r="AN104" s="123">
        <f>N104-AK104</f>
        <v>1</v>
      </c>
      <c r="AO104" s="31">
        <f>SUM(P104:R104)-AK104</f>
        <v>0</v>
      </c>
    </row>
    <row r="105" spans="1:41" s="3" customFormat="1" ht="14.5" x14ac:dyDescent="0.35">
      <c r="A105" s="24">
        <v>99</v>
      </c>
      <c r="B105" s="11" t="s">
        <v>5</v>
      </c>
      <c r="C105" s="11" t="s">
        <v>80</v>
      </c>
      <c r="D105" s="11">
        <v>102925</v>
      </c>
      <c r="E105" s="11">
        <v>48247</v>
      </c>
      <c r="F105" s="20" t="s">
        <v>560</v>
      </c>
      <c r="G105" s="20" t="s">
        <v>738</v>
      </c>
      <c r="H105" s="6">
        <v>29.3406029</v>
      </c>
      <c r="I105" s="6">
        <v>71.585730600000005</v>
      </c>
      <c r="J105" s="12" t="s">
        <v>6</v>
      </c>
      <c r="K105" s="11" t="s">
        <v>6</v>
      </c>
      <c r="L105" s="11" t="s">
        <v>433</v>
      </c>
      <c r="M105" s="11" t="s">
        <v>220</v>
      </c>
      <c r="N105" s="39">
        <f t="shared" si="1"/>
        <v>3</v>
      </c>
      <c r="O105" s="41" t="s">
        <v>717</v>
      </c>
      <c r="P105" s="42" t="s">
        <v>717</v>
      </c>
      <c r="Q105" s="43" t="s">
        <v>717</v>
      </c>
      <c r="R105" s="44" t="s">
        <v>717</v>
      </c>
      <c r="S105" s="46" t="s">
        <v>585</v>
      </c>
      <c r="T105" s="46">
        <v>1</v>
      </c>
      <c r="U105" s="46">
        <v>2</v>
      </c>
      <c r="V105" s="46">
        <v>0</v>
      </c>
      <c r="W105" s="48" t="s">
        <v>717</v>
      </c>
      <c r="X105" s="49" t="s">
        <v>717</v>
      </c>
      <c r="Y105" s="50" t="s">
        <v>717</v>
      </c>
      <c r="Z105" s="51" t="s">
        <v>717</v>
      </c>
      <c r="AA105" s="53" t="s">
        <v>717</v>
      </c>
      <c r="AB105" s="54" t="s">
        <v>717</v>
      </c>
      <c r="AC105" s="55" t="s">
        <v>717</v>
      </c>
      <c r="AD105" s="56" t="s">
        <v>717</v>
      </c>
      <c r="AE105" s="58" t="s">
        <v>717</v>
      </c>
      <c r="AF105" s="59" t="s">
        <v>717</v>
      </c>
      <c r="AG105" s="60" t="s">
        <v>717</v>
      </c>
      <c r="AH105" s="61" t="s">
        <v>717</v>
      </c>
      <c r="AI105" s="64"/>
      <c r="AJ105" s="66"/>
      <c r="AK105" s="22" t="s">
        <v>717</v>
      </c>
      <c r="AL105" s="23"/>
      <c r="AM105" s="23"/>
    </row>
    <row r="106" spans="1:41" s="3" customFormat="1" ht="14.5" x14ac:dyDescent="0.35">
      <c r="A106" s="24">
        <v>100</v>
      </c>
      <c r="B106" s="11" t="s">
        <v>5</v>
      </c>
      <c r="C106" s="11" t="s">
        <v>359</v>
      </c>
      <c r="D106" s="11">
        <v>114685</v>
      </c>
      <c r="E106" s="11">
        <v>48249</v>
      </c>
      <c r="F106" s="20" t="s">
        <v>559</v>
      </c>
      <c r="G106" s="20" t="s">
        <v>739</v>
      </c>
      <c r="H106" s="6">
        <v>29.586358799999999</v>
      </c>
      <c r="I106" s="6">
        <v>72.236296999999993</v>
      </c>
      <c r="J106" s="12" t="s">
        <v>6</v>
      </c>
      <c r="K106" s="11" t="s">
        <v>6</v>
      </c>
      <c r="L106" s="11" t="s">
        <v>433</v>
      </c>
      <c r="M106" s="11" t="s">
        <v>187</v>
      </c>
      <c r="N106" s="39">
        <f t="shared" si="1"/>
        <v>2</v>
      </c>
      <c r="O106" s="41" t="s">
        <v>717</v>
      </c>
      <c r="P106" s="42" t="s">
        <v>717</v>
      </c>
      <c r="Q106" s="43" t="s">
        <v>717</v>
      </c>
      <c r="R106" s="44" t="s">
        <v>717</v>
      </c>
      <c r="S106" s="46" t="s">
        <v>717</v>
      </c>
      <c r="T106" s="46" t="s">
        <v>717</v>
      </c>
      <c r="U106" s="46" t="s">
        <v>717</v>
      </c>
      <c r="V106" s="46" t="s">
        <v>717</v>
      </c>
      <c r="W106" s="48" t="s">
        <v>717</v>
      </c>
      <c r="X106" s="49" t="s">
        <v>717</v>
      </c>
      <c r="Y106" s="50" t="s">
        <v>717</v>
      </c>
      <c r="Z106" s="51" t="s">
        <v>717</v>
      </c>
      <c r="AA106" s="53" t="s">
        <v>717</v>
      </c>
      <c r="AB106" s="54" t="s">
        <v>717</v>
      </c>
      <c r="AC106" s="55" t="s">
        <v>717</v>
      </c>
      <c r="AD106" s="56" t="s">
        <v>717</v>
      </c>
      <c r="AE106" s="58" t="s">
        <v>717</v>
      </c>
      <c r="AF106" s="59" t="s">
        <v>717</v>
      </c>
      <c r="AG106" s="60" t="s">
        <v>717</v>
      </c>
      <c r="AH106" s="61" t="s">
        <v>717</v>
      </c>
      <c r="AI106" s="64">
        <v>2</v>
      </c>
      <c r="AJ106" s="66"/>
      <c r="AK106" s="22" t="s">
        <v>717</v>
      </c>
      <c r="AL106" s="23"/>
      <c r="AM106" s="23" t="s">
        <v>621</v>
      </c>
    </row>
    <row r="107" spans="1:41" s="3" customFormat="1" ht="14.5" x14ac:dyDescent="0.35">
      <c r="A107" s="24">
        <v>101</v>
      </c>
      <c r="B107" s="11" t="s">
        <v>5</v>
      </c>
      <c r="C107" s="12" t="s">
        <v>309</v>
      </c>
      <c r="D107" s="11">
        <v>114456</v>
      </c>
      <c r="E107" s="11">
        <v>48250</v>
      </c>
      <c r="F107" s="20" t="s">
        <v>559</v>
      </c>
      <c r="G107" s="20" t="s">
        <v>739</v>
      </c>
      <c r="H107" s="6">
        <v>29.706728099999999</v>
      </c>
      <c r="I107" s="6">
        <v>72.5913769</v>
      </c>
      <c r="J107" s="12" t="s">
        <v>6</v>
      </c>
      <c r="K107" s="11" t="s">
        <v>6</v>
      </c>
      <c r="L107" s="11" t="s">
        <v>433</v>
      </c>
      <c r="M107" s="11" t="s">
        <v>310</v>
      </c>
      <c r="N107" s="39">
        <f t="shared" si="1"/>
        <v>3</v>
      </c>
      <c r="O107" s="41" t="s">
        <v>717</v>
      </c>
      <c r="P107" s="42" t="s">
        <v>717</v>
      </c>
      <c r="Q107" s="43" t="s">
        <v>717</v>
      </c>
      <c r="R107" s="44" t="s">
        <v>717</v>
      </c>
      <c r="S107" s="46" t="s">
        <v>717</v>
      </c>
      <c r="T107" s="46" t="s">
        <v>717</v>
      </c>
      <c r="U107" s="46" t="s">
        <v>717</v>
      </c>
      <c r="V107" s="46" t="s">
        <v>717</v>
      </c>
      <c r="W107" s="48" t="s">
        <v>717</v>
      </c>
      <c r="X107" s="49" t="s">
        <v>717</v>
      </c>
      <c r="Y107" s="50" t="s">
        <v>717</v>
      </c>
      <c r="Z107" s="51" t="s">
        <v>717</v>
      </c>
      <c r="AA107" s="53" t="s">
        <v>717</v>
      </c>
      <c r="AB107" s="54" t="s">
        <v>717</v>
      </c>
      <c r="AC107" s="55" t="s">
        <v>717</v>
      </c>
      <c r="AD107" s="56" t="s">
        <v>717</v>
      </c>
      <c r="AE107" s="58" t="s">
        <v>717</v>
      </c>
      <c r="AF107" s="59" t="s">
        <v>717</v>
      </c>
      <c r="AG107" s="60" t="s">
        <v>717</v>
      </c>
      <c r="AH107" s="61" t="s">
        <v>717</v>
      </c>
      <c r="AI107" s="64">
        <v>3</v>
      </c>
      <c r="AJ107" s="66"/>
      <c r="AK107" s="22" t="s">
        <v>717</v>
      </c>
      <c r="AL107" s="23"/>
      <c r="AM107" s="23" t="s">
        <v>626</v>
      </c>
    </row>
    <row r="108" spans="1:41" s="3" customFormat="1" ht="14.5" x14ac:dyDescent="0.35">
      <c r="A108" s="24">
        <v>102</v>
      </c>
      <c r="B108" s="11" t="s">
        <v>5</v>
      </c>
      <c r="C108" s="11" t="s">
        <v>68</v>
      </c>
      <c r="D108" s="11">
        <v>102975</v>
      </c>
      <c r="E108" s="11">
        <v>48251</v>
      </c>
      <c r="F108" s="20" t="s">
        <v>560</v>
      </c>
      <c r="G108" s="20" t="s">
        <v>738</v>
      </c>
      <c r="H108" s="6">
        <v>29.469999000000001</v>
      </c>
      <c r="I108" s="6">
        <v>71.987993000000003</v>
      </c>
      <c r="J108" s="12" t="s">
        <v>21</v>
      </c>
      <c r="K108" s="11" t="s">
        <v>6</v>
      </c>
      <c r="L108" s="11" t="s">
        <v>433</v>
      </c>
      <c r="M108" s="11" t="s">
        <v>203</v>
      </c>
      <c r="N108" s="39">
        <f t="shared" si="1"/>
        <v>4</v>
      </c>
      <c r="O108" s="41" t="s">
        <v>717</v>
      </c>
      <c r="P108" s="42" t="s">
        <v>717</v>
      </c>
      <c r="Q108" s="43" t="s">
        <v>717</v>
      </c>
      <c r="R108" s="44" t="s">
        <v>717</v>
      </c>
      <c r="S108" s="46" t="s">
        <v>584</v>
      </c>
      <c r="T108" s="46">
        <v>1</v>
      </c>
      <c r="U108" s="46">
        <v>3</v>
      </c>
      <c r="V108" s="46">
        <v>0</v>
      </c>
      <c r="W108" s="48" t="s">
        <v>717</v>
      </c>
      <c r="X108" s="49" t="s">
        <v>717</v>
      </c>
      <c r="Y108" s="50" t="s">
        <v>717</v>
      </c>
      <c r="Z108" s="51" t="s">
        <v>717</v>
      </c>
      <c r="AA108" s="53" t="s">
        <v>717</v>
      </c>
      <c r="AB108" s="54" t="s">
        <v>717</v>
      </c>
      <c r="AC108" s="55" t="s">
        <v>717</v>
      </c>
      <c r="AD108" s="56" t="s">
        <v>717</v>
      </c>
      <c r="AE108" s="58" t="s">
        <v>717</v>
      </c>
      <c r="AF108" s="59" t="s">
        <v>717</v>
      </c>
      <c r="AG108" s="60" t="s">
        <v>717</v>
      </c>
      <c r="AH108" s="61" t="s">
        <v>717</v>
      </c>
      <c r="AI108" s="64"/>
      <c r="AJ108" s="66"/>
      <c r="AK108" s="22" t="s">
        <v>717</v>
      </c>
      <c r="AL108" s="23"/>
      <c r="AM108" s="23"/>
    </row>
    <row r="109" spans="1:41" s="3" customFormat="1" ht="14.5" x14ac:dyDescent="0.35">
      <c r="A109" s="24">
        <v>103</v>
      </c>
      <c r="B109" s="11" t="s">
        <v>5</v>
      </c>
      <c r="C109" s="19" t="s">
        <v>48</v>
      </c>
      <c r="D109" s="10">
        <v>114700</v>
      </c>
      <c r="E109" s="11">
        <v>48252</v>
      </c>
      <c r="F109" s="20" t="s">
        <v>559</v>
      </c>
      <c r="G109" s="20" t="s">
        <v>739</v>
      </c>
      <c r="H109" s="6">
        <v>29.508980000000001</v>
      </c>
      <c r="I109" s="6">
        <v>72.64443</v>
      </c>
      <c r="J109" s="12" t="s">
        <v>6</v>
      </c>
      <c r="K109" s="11" t="s">
        <v>6</v>
      </c>
      <c r="L109" s="11" t="s">
        <v>433</v>
      </c>
      <c r="M109" s="11" t="s">
        <v>183</v>
      </c>
      <c r="N109" s="39">
        <f t="shared" si="1"/>
        <v>4</v>
      </c>
      <c r="O109" s="41" t="s">
        <v>717</v>
      </c>
      <c r="P109" s="42" t="s">
        <v>717</v>
      </c>
      <c r="Q109" s="43" t="s">
        <v>717</v>
      </c>
      <c r="R109" s="44" t="s">
        <v>717</v>
      </c>
      <c r="S109" s="46" t="s">
        <v>717</v>
      </c>
      <c r="T109" s="46" t="s">
        <v>717</v>
      </c>
      <c r="U109" s="46" t="s">
        <v>717</v>
      </c>
      <c r="V109" s="46" t="s">
        <v>717</v>
      </c>
      <c r="W109" s="48" t="s">
        <v>717</v>
      </c>
      <c r="X109" s="49" t="s">
        <v>717</v>
      </c>
      <c r="Y109" s="50" t="s">
        <v>717</v>
      </c>
      <c r="Z109" s="51" t="s">
        <v>717</v>
      </c>
      <c r="AA109" s="53" t="s">
        <v>717</v>
      </c>
      <c r="AB109" s="54" t="s">
        <v>717</v>
      </c>
      <c r="AC109" s="55" t="s">
        <v>717</v>
      </c>
      <c r="AD109" s="56" t="s">
        <v>717</v>
      </c>
      <c r="AE109" s="58" t="s">
        <v>717</v>
      </c>
      <c r="AF109" s="59" t="s">
        <v>717</v>
      </c>
      <c r="AG109" s="60" t="s">
        <v>717</v>
      </c>
      <c r="AH109" s="61" t="s">
        <v>717</v>
      </c>
      <c r="AI109" s="64">
        <v>4</v>
      </c>
      <c r="AJ109" s="66"/>
      <c r="AK109" s="22" t="s">
        <v>717</v>
      </c>
      <c r="AL109" s="23"/>
      <c r="AM109" s="23" t="s">
        <v>615</v>
      </c>
    </row>
    <row r="110" spans="1:41" s="3" customFormat="1" ht="14.5" x14ac:dyDescent="0.35">
      <c r="A110" s="24">
        <v>104</v>
      </c>
      <c r="B110" s="11" t="s">
        <v>5</v>
      </c>
      <c r="C110" s="11" t="s">
        <v>34</v>
      </c>
      <c r="D110" s="11">
        <v>114838</v>
      </c>
      <c r="E110" s="11">
        <v>48254</v>
      </c>
      <c r="F110" s="20" t="s">
        <v>560</v>
      </c>
      <c r="G110" s="20" t="s">
        <v>738</v>
      </c>
      <c r="H110" s="6">
        <v>29.6962981</v>
      </c>
      <c r="I110" s="6">
        <v>72.540264100000002</v>
      </c>
      <c r="J110" s="12" t="s">
        <v>6</v>
      </c>
      <c r="K110" s="11" t="s">
        <v>6</v>
      </c>
      <c r="L110" s="11" t="s">
        <v>433</v>
      </c>
      <c r="M110" s="11" t="s">
        <v>167</v>
      </c>
      <c r="N110" s="39">
        <f t="shared" si="1"/>
        <v>4</v>
      </c>
      <c r="O110" s="41" t="s">
        <v>593</v>
      </c>
      <c r="P110" s="42">
        <v>0</v>
      </c>
      <c r="Q110" s="43">
        <v>4</v>
      </c>
      <c r="R110" s="44">
        <v>0</v>
      </c>
      <c r="S110" s="46" t="s">
        <v>717</v>
      </c>
      <c r="T110" s="46" t="s">
        <v>717</v>
      </c>
      <c r="U110" s="46" t="s">
        <v>717</v>
      </c>
      <c r="V110" s="46" t="s">
        <v>717</v>
      </c>
      <c r="W110" s="48" t="s">
        <v>717</v>
      </c>
      <c r="X110" s="49" t="s">
        <v>717</v>
      </c>
      <c r="Y110" s="50" t="s">
        <v>717</v>
      </c>
      <c r="Z110" s="51" t="s">
        <v>717</v>
      </c>
      <c r="AA110" s="53" t="s">
        <v>717</v>
      </c>
      <c r="AB110" s="54" t="s">
        <v>717</v>
      </c>
      <c r="AC110" s="55" t="s">
        <v>717</v>
      </c>
      <c r="AD110" s="56" t="s">
        <v>717</v>
      </c>
      <c r="AE110" s="58" t="s">
        <v>717</v>
      </c>
      <c r="AF110" s="59" t="s">
        <v>717</v>
      </c>
      <c r="AG110" s="60" t="s">
        <v>717</v>
      </c>
      <c r="AH110" s="61" t="s">
        <v>717</v>
      </c>
      <c r="AI110" s="64"/>
      <c r="AJ110" s="66"/>
      <c r="AK110" s="22">
        <v>4</v>
      </c>
      <c r="AL110" s="23"/>
      <c r="AM110" s="23"/>
      <c r="AN110" s="123">
        <f>N110-AK110</f>
        <v>0</v>
      </c>
    </row>
    <row r="111" spans="1:41" s="3" customFormat="1" ht="14.5" x14ac:dyDescent="0.35">
      <c r="A111" s="24">
        <v>105</v>
      </c>
      <c r="B111" s="11" t="s">
        <v>5</v>
      </c>
      <c r="C111" s="11" t="s">
        <v>67</v>
      </c>
      <c r="D111" s="11">
        <v>103045</v>
      </c>
      <c r="E111" s="11">
        <v>48255</v>
      </c>
      <c r="F111" s="20" t="s">
        <v>559</v>
      </c>
      <c r="G111" s="20" t="s">
        <v>739</v>
      </c>
      <c r="H111" s="6">
        <v>29.42286</v>
      </c>
      <c r="I111" s="6">
        <v>71.665679999999995</v>
      </c>
      <c r="J111" s="12" t="s">
        <v>6</v>
      </c>
      <c r="K111" s="11" t="s">
        <v>6</v>
      </c>
      <c r="L111" s="11" t="s">
        <v>433</v>
      </c>
      <c r="M111" s="11" t="s">
        <v>201</v>
      </c>
      <c r="N111" s="39">
        <f t="shared" si="1"/>
        <v>5</v>
      </c>
      <c r="O111" s="41" t="s">
        <v>717</v>
      </c>
      <c r="P111" s="42" t="s">
        <v>717</v>
      </c>
      <c r="Q111" s="43" t="s">
        <v>717</v>
      </c>
      <c r="R111" s="44" t="s">
        <v>717</v>
      </c>
      <c r="S111" s="46" t="s">
        <v>717</v>
      </c>
      <c r="T111" s="46" t="s">
        <v>717</v>
      </c>
      <c r="U111" s="46" t="s">
        <v>717</v>
      </c>
      <c r="V111" s="46" t="s">
        <v>717</v>
      </c>
      <c r="W111" s="48" t="s">
        <v>717</v>
      </c>
      <c r="X111" s="49" t="s">
        <v>717</v>
      </c>
      <c r="Y111" s="50" t="s">
        <v>717</v>
      </c>
      <c r="Z111" s="51" t="s">
        <v>717</v>
      </c>
      <c r="AA111" s="53" t="s">
        <v>717</v>
      </c>
      <c r="AB111" s="54" t="s">
        <v>717</v>
      </c>
      <c r="AC111" s="55" t="s">
        <v>717</v>
      </c>
      <c r="AD111" s="56" t="s">
        <v>717</v>
      </c>
      <c r="AE111" s="58" t="s">
        <v>717</v>
      </c>
      <c r="AF111" s="59" t="s">
        <v>717</v>
      </c>
      <c r="AG111" s="60" t="s">
        <v>717</v>
      </c>
      <c r="AH111" s="61" t="s">
        <v>717</v>
      </c>
      <c r="AI111" s="64">
        <v>5</v>
      </c>
      <c r="AJ111" s="66"/>
      <c r="AK111" s="22" t="s">
        <v>717</v>
      </c>
      <c r="AL111" s="23"/>
      <c r="AM111" s="23" t="s">
        <v>706</v>
      </c>
    </row>
    <row r="112" spans="1:41" s="3" customFormat="1" ht="14.5" x14ac:dyDescent="0.35">
      <c r="A112" s="24">
        <v>106</v>
      </c>
      <c r="B112" s="11" t="s">
        <v>5</v>
      </c>
      <c r="C112" s="11" t="s">
        <v>356</v>
      </c>
      <c r="D112" s="11">
        <v>103146</v>
      </c>
      <c r="E112" s="11">
        <v>48256</v>
      </c>
      <c r="F112" s="20" t="s">
        <v>559</v>
      </c>
      <c r="G112" s="20" t="s">
        <v>739</v>
      </c>
      <c r="H112" s="6">
        <v>29.679736800000001</v>
      </c>
      <c r="I112" s="6">
        <v>72.574877599999994</v>
      </c>
      <c r="J112" s="12" t="s">
        <v>6</v>
      </c>
      <c r="K112" s="11" t="s">
        <v>6</v>
      </c>
      <c r="L112" s="11" t="s">
        <v>433</v>
      </c>
      <c r="M112" s="11" t="s">
        <v>171</v>
      </c>
      <c r="N112" s="39">
        <f t="shared" si="1"/>
        <v>4</v>
      </c>
      <c r="O112" s="41" t="s">
        <v>717</v>
      </c>
      <c r="P112" s="42" t="s">
        <v>717</v>
      </c>
      <c r="Q112" s="43" t="s">
        <v>717</v>
      </c>
      <c r="R112" s="44" t="s">
        <v>717</v>
      </c>
      <c r="S112" s="46" t="s">
        <v>717</v>
      </c>
      <c r="T112" s="46" t="s">
        <v>717</v>
      </c>
      <c r="U112" s="46" t="s">
        <v>717</v>
      </c>
      <c r="V112" s="46" t="s">
        <v>717</v>
      </c>
      <c r="W112" s="48" t="s">
        <v>717</v>
      </c>
      <c r="X112" s="49" t="s">
        <v>717</v>
      </c>
      <c r="Y112" s="50" t="s">
        <v>717</v>
      </c>
      <c r="Z112" s="51" t="s">
        <v>717</v>
      </c>
      <c r="AA112" s="53" t="s">
        <v>717</v>
      </c>
      <c r="AB112" s="54" t="s">
        <v>717</v>
      </c>
      <c r="AC112" s="55" t="s">
        <v>717</v>
      </c>
      <c r="AD112" s="56" t="s">
        <v>717</v>
      </c>
      <c r="AE112" s="58" t="s">
        <v>717</v>
      </c>
      <c r="AF112" s="59" t="s">
        <v>717</v>
      </c>
      <c r="AG112" s="60" t="s">
        <v>717</v>
      </c>
      <c r="AH112" s="61" t="s">
        <v>717</v>
      </c>
      <c r="AI112" s="64">
        <v>4</v>
      </c>
      <c r="AJ112" s="66"/>
      <c r="AK112" s="22" t="s">
        <v>717</v>
      </c>
      <c r="AL112" s="23"/>
      <c r="AM112" s="23" t="s">
        <v>669</v>
      </c>
    </row>
    <row r="113" spans="1:41" s="3" customFormat="1" ht="14.5" x14ac:dyDescent="0.35">
      <c r="A113" s="24">
        <v>107</v>
      </c>
      <c r="B113" s="11" t="s">
        <v>5</v>
      </c>
      <c r="C113" s="11" t="s">
        <v>491</v>
      </c>
      <c r="D113" s="11">
        <v>119259</v>
      </c>
      <c r="E113" s="11">
        <v>48257</v>
      </c>
      <c r="F113" s="20" t="s">
        <v>559</v>
      </c>
      <c r="G113" s="20" t="s">
        <v>739</v>
      </c>
      <c r="H113" s="6">
        <v>29.403306099999998</v>
      </c>
      <c r="I113" s="6">
        <v>71.816118500000002</v>
      </c>
      <c r="J113" s="12" t="s">
        <v>6</v>
      </c>
      <c r="K113" s="11" t="s">
        <v>6</v>
      </c>
      <c r="L113" s="11" t="s">
        <v>433</v>
      </c>
      <c r="M113" s="11" t="s">
        <v>465</v>
      </c>
      <c r="N113" s="39">
        <f t="shared" si="1"/>
        <v>4</v>
      </c>
      <c r="O113" s="41" t="s">
        <v>623</v>
      </c>
      <c r="P113" s="42">
        <v>0</v>
      </c>
      <c r="Q113" s="43">
        <v>2</v>
      </c>
      <c r="R113" s="44">
        <v>0</v>
      </c>
      <c r="S113" s="46" t="s">
        <v>717</v>
      </c>
      <c r="T113" s="46" t="s">
        <v>717</v>
      </c>
      <c r="U113" s="46" t="s">
        <v>717</v>
      </c>
      <c r="V113" s="46" t="s">
        <v>717</v>
      </c>
      <c r="W113" s="48" t="s">
        <v>717</v>
      </c>
      <c r="X113" s="49" t="s">
        <v>717</v>
      </c>
      <c r="Y113" s="50" t="s">
        <v>717</v>
      </c>
      <c r="Z113" s="51" t="s">
        <v>717</v>
      </c>
      <c r="AA113" s="53" t="s">
        <v>717</v>
      </c>
      <c r="AB113" s="54" t="s">
        <v>717</v>
      </c>
      <c r="AC113" s="55" t="s">
        <v>717</v>
      </c>
      <c r="AD113" s="56" t="s">
        <v>717</v>
      </c>
      <c r="AE113" s="58" t="s">
        <v>717</v>
      </c>
      <c r="AF113" s="59" t="s">
        <v>717</v>
      </c>
      <c r="AG113" s="60" t="s">
        <v>717</v>
      </c>
      <c r="AH113" s="61" t="s">
        <v>717</v>
      </c>
      <c r="AI113" s="64">
        <v>2</v>
      </c>
      <c r="AJ113" s="66"/>
      <c r="AK113" s="36">
        <v>2</v>
      </c>
      <c r="AL113" s="23"/>
      <c r="AM113" s="23" t="s">
        <v>622</v>
      </c>
      <c r="AN113" s="123">
        <f>N113-AK113</f>
        <v>2</v>
      </c>
      <c r="AO113" s="31">
        <f>SUM(P113:R113)-AK113</f>
        <v>0</v>
      </c>
    </row>
    <row r="114" spans="1:41" s="3" customFormat="1" ht="14.5" x14ac:dyDescent="0.35">
      <c r="A114" s="24">
        <v>108</v>
      </c>
      <c r="B114" s="11" t="s">
        <v>5</v>
      </c>
      <c r="C114" s="11" t="s">
        <v>52</v>
      </c>
      <c r="D114" s="11">
        <v>103199</v>
      </c>
      <c r="E114" s="11">
        <v>48258</v>
      </c>
      <c r="F114" s="20" t="s">
        <v>559</v>
      </c>
      <c r="G114" s="20" t="s">
        <v>739</v>
      </c>
      <c r="H114" s="6">
        <v>29.697939999999999</v>
      </c>
      <c r="I114" s="6">
        <v>72.290710000000004</v>
      </c>
      <c r="J114" s="12" t="s">
        <v>6</v>
      </c>
      <c r="K114" s="11" t="s">
        <v>6</v>
      </c>
      <c r="L114" s="11" t="s">
        <v>433</v>
      </c>
      <c r="M114" s="11" t="s">
        <v>186</v>
      </c>
      <c r="N114" s="39">
        <f t="shared" si="1"/>
        <v>2</v>
      </c>
      <c r="O114" s="41" t="s">
        <v>717</v>
      </c>
      <c r="P114" s="42" t="s">
        <v>717</v>
      </c>
      <c r="Q114" s="43" t="s">
        <v>717</v>
      </c>
      <c r="R114" s="44" t="s">
        <v>717</v>
      </c>
      <c r="S114" s="46" t="s">
        <v>717</v>
      </c>
      <c r="T114" s="46" t="s">
        <v>717</v>
      </c>
      <c r="U114" s="46" t="s">
        <v>717</v>
      </c>
      <c r="V114" s="46" t="s">
        <v>717</v>
      </c>
      <c r="W114" s="48" t="s">
        <v>717</v>
      </c>
      <c r="X114" s="49" t="s">
        <v>717</v>
      </c>
      <c r="Y114" s="50" t="s">
        <v>717</v>
      </c>
      <c r="Z114" s="51" t="s">
        <v>717</v>
      </c>
      <c r="AA114" s="53" t="s">
        <v>717</v>
      </c>
      <c r="AB114" s="54" t="s">
        <v>717</v>
      </c>
      <c r="AC114" s="55" t="s">
        <v>717</v>
      </c>
      <c r="AD114" s="56" t="s">
        <v>717</v>
      </c>
      <c r="AE114" s="58" t="s">
        <v>717</v>
      </c>
      <c r="AF114" s="59" t="s">
        <v>717</v>
      </c>
      <c r="AG114" s="60" t="s">
        <v>717</v>
      </c>
      <c r="AH114" s="61" t="s">
        <v>717</v>
      </c>
      <c r="AI114" s="64">
        <v>2</v>
      </c>
      <c r="AJ114" s="66"/>
      <c r="AK114" s="22" t="s">
        <v>717</v>
      </c>
      <c r="AL114" s="23"/>
      <c r="AM114" s="23" t="s">
        <v>619</v>
      </c>
    </row>
    <row r="115" spans="1:41" s="3" customFormat="1" ht="14.5" x14ac:dyDescent="0.35">
      <c r="A115" s="24">
        <v>109</v>
      </c>
      <c r="B115" s="11" t="s">
        <v>5</v>
      </c>
      <c r="C115" s="11" t="s">
        <v>78</v>
      </c>
      <c r="D115" s="11">
        <v>103597</v>
      </c>
      <c r="E115" s="11">
        <v>48259</v>
      </c>
      <c r="F115" s="20" t="s">
        <v>559</v>
      </c>
      <c r="G115" s="20" t="s">
        <v>739</v>
      </c>
      <c r="H115" s="6">
        <v>29.372430000000001</v>
      </c>
      <c r="I115" s="6">
        <v>71.593760000000003</v>
      </c>
      <c r="J115" s="12" t="s">
        <v>6</v>
      </c>
      <c r="K115" s="11" t="s">
        <v>6</v>
      </c>
      <c r="L115" s="11" t="s">
        <v>433</v>
      </c>
      <c r="M115" s="11" t="s">
        <v>218</v>
      </c>
      <c r="N115" s="39">
        <f t="shared" si="1"/>
        <v>3</v>
      </c>
      <c r="O115" s="41" t="s">
        <v>717</v>
      </c>
      <c r="P115" s="42" t="s">
        <v>717</v>
      </c>
      <c r="Q115" s="43" t="s">
        <v>717</v>
      </c>
      <c r="R115" s="44" t="s">
        <v>717</v>
      </c>
      <c r="S115" s="46" t="s">
        <v>717</v>
      </c>
      <c r="T115" s="46" t="s">
        <v>717</v>
      </c>
      <c r="U115" s="46" t="s">
        <v>717</v>
      </c>
      <c r="V115" s="46" t="s">
        <v>717</v>
      </c>
      <c r="W115" s="48" t="s">
        <v>717</v>
      </c>
      <c r="X115" s="49" t="s">
        <v>717</v>
      </c>
      <c r="Y115" s="50" t="s">
        <v>717</v>
      </c>
      <c r="Z115" s="51" t="s">
        <v>717</v>
      </c>
      <c r="AA115" s="53" t="s">
        <v>717</v>
      </c>
      <c r="AB115" s="54" t="s">
        <v>717</v>
      </c>
      <c r="AC115" s="55" t="s">
        <v>717</v>
      </c>
      <c r="AD115" s="56" t="s">
        <v>717</v>
      </c>
      <c r="AE115" s="58" t="s">
        <v>717</v>
      </c>
      <c r="AF115" s="59" t="s">
        <v>717</v>
      </c>
      <c r="AG115" s="60" t="s">
        <v>717</v>
      </c>
      <c r="AH115" s="61" t="s">
        <v>717</v>
      </c>
      <c r="AI115" s="64">
        <v>3</v>
      </c>
      <c r="AJ115" s="66"/>
      <c r="AK115" s="22" t="s">
        <v>717</v>
      </c>
      <c r="AL115" s="23"/>
      <c r="AM115" s="23" t="s">
        <v>630</v>
      </c>
    </row>
    <row r="116" spans="1:41" s="3" customFormat="1" ht="14.5" x14ac:dyDescent="0.35">
      <c r="A116" s="24">
        <v>110</v>
      </c>
      <c r="B116" s="11" t="s">
        <v>5</v>
      </c>
      <c r="C116" s="11" t="s">
        <v>82</v>
      </c>
      <c r="D116" s="11">
        <v>103633</v>
      </c>
      <c r="E116" s="11">
        <v>48261</v>
      </c>
      <c r="F116" s="20" t="s">
        <v>560</v>
      </c>
      <c r="G116" s="20" t="s">
        <v>738</v>
      </c>
      <c r="H116" s="6">
        <v>29.306904200000002</v>
      </c>
      <c r="I116" s="6">
        <v>71.547861100000006</v>
      </c>
      <c r="J116" s="12" t="s">
        <v>6</v>
      </c>
      <c r="K116" s="11" t="s">
        <v>6</v>
      </c>
      <c r="L116" s="11" t="s">
        <v>433</v>
      </c>
      <c r="M116" s="11" t="s">
        <v>222</v>
      </c>
      <c r="N116" s="39">
        <f t="shared" si="1"/>
        <v>4</v>
      </c>
      <c r="O116" s="41" t="s">
        <v>717</v>
      </c>
      <c r="P116" s="42" t="s">
        <v>717</v>
      </c>
      <c r="Q116" s="43" t="s">
        <v>717</v>
      </c>
      <c r="R116" s="44" t="s">
        <v>717</v>
      </c>
      <c r="S116" s="46" t="s">
        <v>585</v>
      </c>
      <c r="T116" s="46">
        <v>1</v>
      </c>
      <c r="U116" s="46">
        <v>2</v>
      </c>
      <c r="V116" s="46">
        <v>0</v>
      </c>
      <c r="W116" s="48" t="s">
        <v>717</v>
      </c>
      <c r="X116" s="49" t="s">
        <v>717</v>
      </c>
      <c r="Y116" s="50" t="s">
        <v>717</v>
      </c>
      <c r="Z116" s="51" t="s">
        <v>717</v>
      </c>
      <c r="AA116" s="53" t="s">
        <v>717</v>
      </c>
      <c r="AB116" s="54" t="s">
        <v>717</v>
      </c>
      <c r="AC116" s="55" t="s">
        <v>717</v>
      </c>
      <c r="AD116" s="56" t="s">
        <v>717</v>
      </c>
      <c r="AE116" s="58" t="s">
        <v>717</v>
      </c>
      <c r="AF116" s="59" t="s">
        <v>717</v>
      </c>
      <c r="AG116" s="60" t="s">
        <v>717</v>
      </c>
      <c r="AH116" s="61" t="s">
        <v>717</v>
      </c>
      <c r="AI116" s="64">
        <v>1</v>
      </c>
      <c r="AJ116" s="66"/>
      <c r="AK116" s="22" t="s">
        <v>717</v>
      </c>
      <c r="AL116" s="23"/>
      <c r="AM116" s="23" t="s">
        <v>683</v>
      </c>
    </row>
    <row r="117" spans="1:41" s="3" customFormat="1" ht="14.5" x14ac:dyDescent="0.35">
      <c r="A117" s="24">
        <v>111</v>
      </c>
      <c r="B117" s="11" t="s">
        <v>5</v>
      </c>
      <c r="C117" s="11" t="s">
        <v>7</v>
      </c>
      <c r="D117" s="11">
        <v>103765</v>
      </c>
      <c r="E117" s="11">
        <v>48263</v>
      </c>
      <c r="F117" s="20" t="s">
        <v>559</v>
      </c>
      <c r="G117" s="20" t="s">
        <v>739</v>
      </c>
      <c r="H117" s="6">
        <v>29.599969999999999</v>
      </c>
      <c r="I117" s="6">
        <v>72.254559999999998</v>
      </c>
      <c r="J117" s="12" t="s">
        <v>6</v>
      </c>
      <c r="K117" s="11" t="s">
        <v>6</v>
      </c>
      <c r="L117" s="11" t="s">
        <v>433</v>
      </c>
      <c r="M117" s="11" t="s">
        <v>301</v>
      </c>
      <c r="N117" s="39">
        <f t="shared" si="1"/>
        <v>4</v>
      </c>
      <c r="O117" s="41" t="s">
        <v>717</v>
      </c>
      <c r="P117" s="42" t="s">
        <v>717</v>
      </c>
      <c r="Q117" s="43" t="s">
        <v>717</v>
      </c>
      <c r="R117" s="44" t="s">
        <v>717</v>
      </c>
      <c r="S117" s="46" t="s">
        <v>717</v>
      </c>
      <c r="T117" s="46" t="s">
        <v>717</v>
      </c>
      <c r="U117" s="46" t="s">
        <v>717</v>
      </c>
      <c r="V117" s="46" t="s">
        <v>717</v>
      </c>
      <c r="W117" s="48" t="s">
        <v>717</v>
      </c>
      <c r="X117" s="49" t="s">
        <v>717</v>
      </c>
      <c r="Y117" s="50" t="s">
        <v>717</v>
      </c>
      <c r="Z117" s="51" t="s">
        <v>717</v>
      </c>
      <c r="AA117" s="53" t="s">
        <v>717</v>
      </c>
      <c r="AB117" s="54" t="s">
        <v>717</v>
      </c>
      <c r="AC117" s="55" t="s">
        <v>717</v>
      </c>
      <c r="AD117" s="56" t="s">
        <v>717</v>
      </c>
      <c r="AE117" s="58" t="s">
        <v>717</v>
      </c>
      <c r="AF117" s="59" t="s">
        <v>717</v>
      </c>
      <c r="AG117" s="60" t="s">
        <v>717</v>
      </c>
      <c r="AH117" s="61" t="s">
        <v>717</v>
      </c>
      <c r="AI117" s="64">
        <v>4</v>
      </c>
      <c r="AJ117" s="66"/>
      <c r="AK117" s="22" t="s">
        <v>717</v>
      </c>
      <c r="AL117" s="23"/>
      <c r="AM117" s="23" t="s">
        <v>672</v>
      </c>
    </row>
    <row r="118" spans="1:41" s="3" customFormat="1" ht="14.5" x14ac:dyDescent="0.35">
      <c r="A118" s="24">
        <v>112</v>
      </c>
      <c r="B118" s="11" t="s">
        <v>5</v>
      </c>
      <c r="C118" s="11" t="s">
        <v>38</v>
      </c>
      <c r="D118" s="11">
        <v>115502</v>
      </c>
      <c r="E118" s="11">
        <v>48265</v>
      </c>
      <c r="F118" s="20" t="s">
        <v>560</v>
      </c>
      <c r="G118" s="20" t="s">
        <v>738</v>
      </c>
      <c r="H118" s="6">
        <v>29.6770019</v>
      </c>
      <c r="I118" s="6">
        <v>72.442399100000003</v>
      </c>
      <c r="J118" s="12" t="s">
        <v>6</v>
      </c>
      <c r="K118" s="11" t="s">
        <v>6</v>
      </c>
      <c r="L118" s="11" t="s">
        <v>433</v>
      </c>
      <c r="M118" s="11" t="s">
        <v>172</v>
      </c>
      <c r="N118" s="39">
        <f t="shared" si="1"/>
        <v>4</v>
      </c>
      <c r="O118" s="41" t="s">
        <v>598</v>
      </c>
      <c r="P118" s="42">
        <v>0</v>
      </c>
      <c r="Q118" s="43">
        <v>4</v>
      </c>
      <c r="R118" s="44">
        <v>0</v>
      </c>
      <c r="S118" s="46" t="s">
        <v>717</v>
      </c>
      <c r="T118" s="46" t="s">
        <v>717</v>
      </c>
      <c r="U118" s="46" t="s">
        <v>717</v>
      </c>
      <c r="V118" s="46" t="s">
        <v>717</v>
      </c>
      <c r="W118" s="48" t="s">
        <v>717</v>
      </c>
      <c r="X118" s="49" t="s">
        <v>717</v>
      </c>
      <c r="Y118" s="50" t="s">
        <v>717</v>
      </c>
      <c r="Z118" s="51" t="s">
        <v>717</v>
      </c>
      <c r="AA118" s="53" t="s">
        <v>717</v>
      </c>
      <c r="AB118" s="54" t="s">
        <v>717</v>
      </c>
      <c r="AC118" s="55" t="s">
        <v>717</v>
      </c>
      <c r="AD118" s="56" t="s">
        <v>717</v>
      </c>
      <c r="AE118" s="58" t="s">
        <v>717</v>
      </c>
      <c r="AF118" s="59" t="s">
        <v>717</v>
      </c>
      <c r="AG118" s="60" t="s">
        <v>717</v>
      </c>
      <c r="AH118" s="61" t="s">
        <v>717</v>
      </c>
      <c r="AI118" s="64"/>
      <c r="AJ118" s="66"/>
      <c r="AK118" s="22">
        <v>4</v>
      </c>
      <c r="AL118" s="23"/>
      <c r="AM118" s="23"/>
      <c r="AN118" s="123">
        <f>N118-AK118</f>
        <v>0</v>
      </c>
    </row>
    <row r="119" spans="1:41" s="3" customFormat="1" ht="14.5" x14ac:dyDescent="0.35">
      <c r="A119" s="24">
        <v>113</v>
      </c>
      <c r="B119" s="11" t="s">
        <v>5</v>
      </c>
      <c r="C119" s="11" t="s">
        <v>553</v>
      </c>
      <c r="D119" s="11">
        <v>119948</v>
      </c>
      <c r="E119" s="11">
        <v>48266</v>
      </c>
      <c r="F119" s="20" t="s">
        <v>559</v>
      </c>
      <c r="G119" s="20" t="s">
        <v>739</v>
      </c>
      <c r="H119" s="6">
        <v>29.748840000000001</v>
      </c>
      <c r="I119" s="6">
        <v>72.467169999999996</v>
      </c>
      <c r="J119" s="12" t="s">
        <v>413</v>
      </c>
      <c r="K119" s="11" t="s">
        <v>6</v>
      </c>
      <c r="L119" s="11" t="s">
        <v>433</v>
      </c>
      <c r="M119" s="11" t="s">
        <v>554</v>
      </c>
      <c r="N119" s="39">
        <f t="shared" si="1"/>
        <v>3</v>
      </c>
      <c r="O119" s="41" t="s">
        <v>717</v>
      </c>
      <c r="P119" s="42" t="s">
        <v>717</v>
      </c>
      <c r="Q119" s="43" t="s">
        <v>717</v>
      </c>
      <c r="R119" s="44" t="s">
        <v>717</v>
      </c>
      <c r="S119" s="46" t="s">
        <v>717</v>
      </c>
      <c r="T119" s="46" t="s">
        <v>717</v>
      </c>
      <c r="U119" s="46" t="s">
        <v>717</v>
      </c>
      <c r="V119" s="46" t="s">
        <v>717</v>
      </c>
      <c r="W119" s="48" t="s">
        <v>717</v>
      </c>
      <c r="X119" s="49" t="s">
        <v>717</v>
      </c>
      <c r="Y119" s="50" t="s">
        <v>717</v>
      </c>
      <c r="Z119" s="51" t="s">
        <v>717</v>
      </c>
      <c r="AA119" s="53" t="s">
        <v>717</v>
      </c>
      <c r="AB119" s="54" t="s">
        <v>717</v>
      </c>
      <c r="AC119" s="55" t="s">
        <v>717</v>
      </c>
      <c r="AD119" s="56" t="s">
        <v>717</v>
      </c>
      <c r="AE119" s="58" t="s">
        <v>717</v>
      </c>
      <c r="AF119" s="59" t="s">
        <v>717</v>
      </c>
      <c r="AG119" s="60" t="s">
        <v>717</v>
      </c>
      <c r="AH119" s="61" t="s">
        <v>717</v>
      </c>
      <c r="AI119" s="64">
        <v>3</v>
      </c>
      <c r="AJ119" s="66"/>
      <c r="AK119" s="22" t="s">
        <v>717</v>
      </c>
      <c r="AL119" s="23"/>
      <c r="AM119" s="23" t="s">
        <v>617</v>
      </c>
    </row>
    <row r="120" spans="1:41" s="3" customFormat="1" ht="14.5" x14ac:dyDescent="0.35">
      <c r="A120" s="24">
        <v>114</v>
      </c>
      <c r="B120" s="11" t="s">
        <v>5</v>
      </c>
      <c r="C120" s="11" t="s">
        <v>522</v>
      </c>
      <c r="D120" s="11">
        <v>118014</v>
      </c>
      <c r="E120" s="11">
        <v>48267</v>
      </c>
      <c r="F120" s="20" t="s">
        <v>560</v>
      </c>
      <c r="G120" s="20" t="s">
        <v>738</v>
      </c>
      <c r="H120" s="6">
        <v>29.41865</v>
      </c>
      <c r="I120" s="6">
        <v>71.668030000000002</v>
      </c>
      <c r="J120" s="12" t="s">
        <v>6</v>
      </c>
      <c r="K120" s="11" t="s">
        <v>6</v>
      </c>
      <c r="L120" s="11" t="s">
        <v>433</v>
      </c>
      <c r="M120" s="11" t="s">
        <v>202</v>
      </c>
      <c r="N120" s="39">
        <f t="shared" si="1"/>
        <v>5</v>
      </c>
      <c r="O120" s="41" t="s">
        <v>593</v>
      </c>
      <c r="P120" s="42">
        <v>0</v>
      </c>
      <c r="Q120" s="43">
        <v>4</v>
      </c>
      <c r="R120" s="44">
        <v>0</v>
      </c>
      <c r="S120" s="46" t="s">
        <v>717</v>
      </c>
      <c r="T120" s="46" t="s">
        <v>717</v>
      </c>
      <c r="U120" s="46" t="s">
        <v>717</v>
      </c>
      <c r="V120" s="46" t="s">
        <v>717</v>
      </c>
      <c r="W120" s="48" t="s">
        <v>717</v>
      </c>
      <c r="X120" s="49" t="s">
        <v>717</v>
      </c>
      <c r="Y120" s="50" t="s">
        <v>717</v>
      </c>
      <c r="Z120" s="51" t="s">
        <v>717</v>
      </c>
      <c r="AA120" s="53" t="s">
        <v>717</v>
      </c>
      <c r="AB120" s="54" t="s">
        <v>717</v>
      </c>
      <c r="AC120" s="55" t="s">
        <v>717</v>
      </c>
      <c r="AD120" s="56" t="s">
        <v>717</v>
      </c>
      <c r="AE120" s="58" t="s">
        <v>717</v>
      </c>
      <c r="AF120" s="59" t="s">
        <v>717</v>
      </c>
      <c r="AG120" s="60" t="s">
        <v>717</v>
      </c>
      <c r="AH120" s="61" t="s">
        <v>717</v>
      </c>
      <c r="AI120" s="64">
        <v>1</v>
      </c>
      <c r="AJ120" s="66"/>
      <c r="AK120" s="36">
        <v>4</v>
      </c>
      <c r="AL120" s="23"/>
      <c r="AM120" s="23" t="s">
        <v>653</v>
      </c>
      <c r="AN120" s="123">
        <f>N120-AK120</f>
        <v>1</v>
      </c>
      <c r="AO120" s="31">
        <f>SUM(P120:R120)-AK120</f>
        <v>0</v>
      </c>
    </row>
    <row r="121" spans="1:41" s="3" customFormat="1" ht="14.5" x14ac:dyDescent="0.35">
      <c r="A121" s="24">
        <v>115</v>
      </c>
      <c r="B121" s="11" t="s">
        <v>5</v>
      </c>
      <c r="C121" s="11" t="s">
        <v>76</v>
      </c>
      <c r="D121" s="11">
        <v>104205</v>
      </c>
      <c r="E121" s="11">
        <v>48268</v>
      </c>
      <c r="F121" s="20" t="s">
        <v>560</v>
      </c>
      <c r="G121" s="20" t="s">
        <v>738</v>
      </c>
      <c r="H121" s="6">
        <v>29.385169999999999</v>
      </c>
      <c r="I121" s="6">
        <v>71.661630000000002</v>
      </c>
      <c r="J121" s="12" t="s">
        <v>6</v>
      </c>
      <c r="K121" s="11" t="s">
        <v>6</v>
      </c>
      <c r="L121" s="11" t="s">
        <v>433</v>
      </c>
      <c r="M121" s="11" t="s">
        <v>216</v>
      </c>
      <c r="N121" s="39">
        <f t="shared" si="1"/>
        <v>3</v>
      </c>
      <c r="O121" s="41" t="s">
        <v>717</v>
      </c>
      <c r="P121" s="42" t="s">
        <v>717</v>
      </c>
      <c r="Q121" s="43" t="s">
        <v>717</v>
      </c>
      <c r="R121" s="44" t="s">
        <v>717</v>
      </c>
      <c r="S121" s="46" t="s">
        <v>585</v>
      </c>
      <c r="T121" s="46">
        <v>0</v>
      </c>
      <c r="U121" s="46">
        <v>3</v>
      </c>
      <c r="V121" s="46">
        <v>0</v>
      </c>
      <c r="W121" s="48" t="s">
        <v>717</v>
      </c>
      <c r="X121" s="49" t="s">
        <v>717</v>
      </c>
      <c r="Y121" s="50" t="s">
        <v>717</v>
      </c>
      <c r="Z121" s="51" t="s">
        <v>717</v>
      </c>
      <c r="AA121" s="53" t="s">
        <v>717</v>
      </c>
      <c r="AB121" s="54" t="s">
        <v>717</v>
      </c>
      <c r="AC121" s="55" t="s">
        <v>717</v>
      </c>
      <c r="AD121" s="56" t="s">
        <v>717</v>
      </c>
      <c r="AE121" s="58" t="s">
        <v>717</v>
      </c>
      <c r="AF121" s="59" t="s">
        <v>717</v>
      </c>
      <c r="AG121" s="60" t="s">
        <v>717</v>
      </c>
      <c r="AH121" s="61" t="s">
        <v>717</v>
      </c>
      <c r="AI121" s="64"/>
      <c r="AJ121" s="66"/>
      <c r="AK121" s="22" t="s">
        <v>717</v>
      </c>
      <c r="AL121" s="23"/>
      <c r="AM121" s="23"/>
    </row>
    <row r="122" spans="1:41" s="3" customFormat="1" ht="14.5" x14ac:dyDescent="0.35">
      <c r="A122" s="24">
        <v>116</v>
      </c>
      <c r="B122" s="11" t="s">
        <v>5</v>
      </c>
      <c r="C122" s="11" t="s">
        <v>369</v>
      </c>
      <c r="D122" s="11">
        <v>116024</v>
      </c>
      <c r="E122" s="11">
        <v>48269</v>
      </c>
      <c r="F122" s="20" t="s">
        <v>560</v>
      </c>
      <c r="G122" s="20" t="s">
        <v>740</v>
      </c>
      <c r="H122" s="6">
        <v>29.394634199999999</v>
      </c>
      <c r="I122" s="6">
        <v>71.686257600000005</v>
      </c>
      <c r="J122" s="12" t="s">
        <v>6</v>
      </c>
      <c r="K122" s="11" t="s">
        <v>6</v>
      </c>
      <c r="L122" s="11" t="s">
        <v>433</v>
      </c>
      <c r="M122" s="11" t="s">
        <v>212</v>
      </c>
      <c r="N122" s="39">
        <f t="shared" si="1"/>
        <v>4</v>
      </c>
      <c r="O122" s="41" t="s">
        <v>593</v>
      </c>
      <c r="P122" s="42">
        <v>0</v>
      </c>
      <c r="Q122" s="43">
        <v>4</v>
      </c>
      <c r="R122" s="44">
        <v>0</v>
      </c>
      <c r="S122" s="46" t="s">
        <v>717</v>
      </c>
      <c r="T122" s="46" t="s">
        <v>717</v>
      </c>
      <c r="U122" s="46" t="s">
        <v>717</v>
      </c>
      <c r="V122" s="46" t="s">
        <v>717</v>
      </c>
      <c r="W122" s="48" t="s">
        <v>717</v>
      </c>
      <c r="X122" s="49" t="s">
        <v>717</v>
      </c>
      <c r="Y122" s="50" t="s">
        <v>717</v>
      </c>
      <c r="Z122" s="51" t="s">
        <v>717</v>
      </c>
      <c r="AA122" s="53" t="s">
        <v>717</v>
      </c>
      <c r="AB122" s="54" t="s">
        <v>717</v>
      </c>
      <c r="AC122" s="55" t="s">
        <v>717</v>
      </c>
      <c r="AD122" s="56" t="s">
        <v>717</v>
      </c>
      <c r="AE122" s="58" t="s">
        <v>717</v>
      </c>
      <c r="AF122" s="59" t="s">
        <v>717</v>
      </c>
      <c r="AG122" s="60" t="s">
        <v>717</v>
      </c>
      <c r="AH122" s="61" t="s">
        <v>717</v>
      </c>
      <c r="AI122" s="64"/>
      <c r="AJ122" s="66"/>
      <c r="AK122" s="22">
        <v>4</v>
      </c>
      <c r="AL122" s="23"/>
      <c r="AM122" s="23"/>
      <c r="AN122" s="123">
        <f>N122-AK122</f>
        <v>0</v>
      </c>
    </row>
    <row r="123" spans="1:41" s="3" customFormat="1" ht="14.5" x14ac:dyDescent="0.35">
      <c r="A123" s="24">
        <v>117</v>
      </c>
      <c r="B123" s="11" t="s">
        <v>5</v>
      </c>
      <c r="C123" s="11" t="s">
        <v>490</v>
      </c>
      <c r="D123" s="11">
        <v>117223</v>
      </c>
      <c r="E123" s="11">
        <v>48270</v>
      </c>
      <c r="F123" s="20" t="s">
        <v>560</v>
      </c>
      <c r="G123" s="20" t="s">
        <v>740</v>
      </c>
      <c r="H123" s="6">
        <v>29.40598</v>
      </c>
      <c r="I123" s="6">
        <v>71.678730000000002</v>
      </c>
      <c r="J123" s="12" t="s">
        <v>6</v>
      </c>
      <c r="K123" s="11" t="s">
        <v>6</v>
      </c>
      <c r="L123" s="11" t="s">
        <v>433</v>
      </c>
      <c r="M123" s="11" t="s">
        <v>402</v>
      </c>
      <c r="N123" s="39">
        <f t="shared" si="1"/>
        <v>6</v>
      </c>
      <c r="O123" s="41" t="s">
        <v>593</v>
      </c>
      <c r="P123" s="42" t="s">
        <v>717</v>
      </c>
      <c r="Q123" s="43">
        <v>4</v>
      </c>
      <c r="R123" s="44" t="s">
        <v>717</v>
      </c>
      <c r="S123" s="46" t="s">
        <v>605</v>
      </c>
      <c r="T123" s="46" t="s">
        <v>717</v>
      </c>
      <c r="U123" s="46">
        <v>2</v>
      </c>
      <c r="V123" s="46" t="s">
        <v>717</v>
      </c>
      <c r="W123" s="48" t="s">
        <v>717</v>
      </c>
      <c r="X123" s="49" t="s">
        <v>717</v>
      </c>
      <c r="Y123" s="50" t="s">
        <v>717</v>
      </c>
      <c r="Z123" s="51" t="s">
        <v>717</v>
      </c>
      <c r="AA123" s="53" t="s">
        <v>717</v>
      </c>
      <c r="AB123" s="54" t="s">
        <v>717</v>
      </c>
      <c r="AC123" s="55" t="s">
        <v>717</v>
      </c>
      <c r="AD123" s="56" t="s">
        <v>717</v>
      </c>
      <c r="AE123" s="58" t="s">
        <v>717</v>
      </c>
      <c r="AF123" s="59" t="s">
        <v>717</v>
      </c>
      <c r="AG123" s="60" t="s">
        <v>717</v>
      </c>
      <c r="AH123" s="61" t="s">
        <v>717</v>
      </c>
      <c r="AI123" s="64"/>
      <c r="AJ123" s="66"/>
      <c r="AK123" s="36">
        <v>5</v>
      </c>
      <c r="AL123" s="23"/>
      <c r="AM123" s="23"/>
      <c r="AN123" s="123">
        <f>N123-AK123</f>
        <v>1</v>
      </c>
      <c r="AO123" s="31">
        <f t="shared" ref="AO123:AO124" si="2">SUM(P123:R123)-AK123</f>
        <v>-1</v>
      </c>
    </row>
    <row r="124" spans="1:41" s="3" customFormat="1" ht="14.5" x14ac:dyDescent="0.35">
      <c r="A124" s="24">
        <v>118</v>
      </c>
      <c r="B124" s="11" t="s">
        <v>5</v>
      </c>
      <c r="C124" s="11" t="s">
        <v>74</v>
      </c>
      <c r="D124" s="11">
        <v>102884</v>
      </c>
      <c r="E124" s="11">
        <v>48271</v>
      </c>
      <c r="F124" s="20" t="s">
        <v>560</v>
      </c>
      <c r="G124" s="20" t="s">
        <v>740</v>
      </c>
      <c r="H124" s="6">
        <v>29.390741200000001</v>
      </c>
      <c r="I124" s="6">
        <v>71.670672999999994</v>
      </c>
      <c r="J124" s="12" t="s">
        <v>6</v>
      </c>
      <c r="K124" s="11" t="s">
        <v>6</v>
      </c>
      <c r="L124" s="11" t="s">
        <v>433</v>
      </c>
      <c r="M124" s="11" t="s">
        <v>211</v>
      </c>
      <c r="N124" s="39">
        <f t="shared" si="1"/>
        <v>4</v>
      </c>
      <c r="O124" s="41" t="s">
        <v>597</v>
      </c>
      <c r="P124" s="42">
        <v>0</v>
      </c>
      <c r="Q124" s="43">
        <v>3</v>
      </c>
      <c r="R124" s="44">
        <v>0</v>
      </c>
      <c r="S124" s="46" t="s">
        <v>717</v>
      </c>
      <c r="T124" s="46" t="s">
        <v>717</v>
      </c>
      <c r="U124" s="46" t="s">
        <v>717</v>
      </c>
      <c r="V124" s="46" t="s">
        <v>717</v>
      </c>
      <c r="W124" s="48" t="s">
        <v>717</v>
      </c>
      <c r="X124" s="49" t="s">
        <v>717</v>
      </c>
      <c r="Y124" s="50" t="s">
        <v>717</v>
      </c>
      <c r="Z124" s="51" t="s">
        <v>717</v>
      </c>
      <c r="AA124" s="53" t="s">
        <v>717</v>
      </c>
      <c r="AB124" s="54" t="s">
        <v>717</v>
      </c>
      <c r="AC124" s="55" t="s">
        <v>717</v>
      </c>
      <c r="AD124" s="56" t="s">
        <v>717</v>
      </c>
      <c r="AE124" s="58" t="s">
        <v>717</v>
      </c>
      <c r="AF124" s="59" t="s">
        <v>717</v>
      </c>
      <c r="AG124" s="60" t="s">
        <v>717</v>
      </c>
      <c r="AH124" s="61" t="s">
        <v>717</v>
      </c>
      <c r="AI124" s="64">
        <v>1</v>
      </c>
      <c r="AJ124" s="66"/>
      <c r="AK124" s="36">
        <v>3</v>
      </c>
      <c r="AL124" s="23"/>
      <c r="AM124" s="23" t="s">
        <v>670</v>
      </c>
      <c r="AN124" s="123">
        <f>N124-AK124</f>
        <v>1</v>
      </c>
      <c r="AO124" s="31">
        <f t="shared" si="2"/>
        <v>0</v>
      </c>
    </row>
    <row r="125" spans="1:41" s="3" customFormat="1" ht="14.5" x14ac:dyDescent="0.35">
      <c r="A125" s="24">
        <v>119</v>
      </c>
      <c r="B125" s="11" t="s">
        <v>5</v>
      </c>
      <c r="C125" s="11" t="s">
        <v>514</v>
      </c>
      <c r="D125" s="11">
        <v>115201</v>
      </c>
      <c r="E125" s="11">
        <v>48272</v>
      </c>
      <c r="F125" s="20" t="s">
        <v>560</v>
      </c>
      <c r="G125" s="20" t="s">
        <v>738</v>
      </c>
      <c r="H125" s="6">
        <v>29.231950000000001</v>
      </c>
      <c r="I125" s="6">
        <v>71.073049999999995</v>
      </c>
      <c r="J125" s="12" t="s">
        <v>6</v>
      </c>
      <c r="K125" s="11" t="s">
        <v>20</v>
      </c>
      <c r="L125" s="11" t="s">
        <v>433</v>
      </c>
      <c r="M125" s="11" t="s">
        <v>225</v>
      </c>
      <c r="N125" s="39">
        <f t="shared" si="1"/>
        <v>5</v>
      </c>
      <c r="O125" s="41" t="s">
        <v>599</v>
      </c>
      <c r="P125" s="42">
        <v>0</v>
      </c>
      <c r="Q125" s="43">
        <v>5</v>
      </c>
      <c r="R125" s="44">
        <v>0</v>
      </c>
      <c r="S125" s="46" t="s">
        <v>717</v>
      </c>
      <c r="T125" s="46" t="s">
        <v>717</v>
      </c>
      <c r="U125" s="46" t="s">
        <v>717</v>
      </c>
      <c r="V125" s="46" t="s">
        <v>717</v>
      </c>
      <c r="W125" s="48" t="s">
        <v>717</v>
      </c>
      <c r="X125" s="49" t="s">
        <v>717</v>
      </c>
      <c r="Y125" s="50" t="s">
        <v>717</v>
      </c>
      <c r="Z125" s="51" t="s">
        <v>717</v>
      </c>
      <c r="AA125" s="53" t="s">
        <v>717</v>
      </c>
      <c r="AB125" s="54" t="s">
        <v>717</v>
      </c>
      <c r="AC125" s="55" t="s">
        <v>717</v>
      </c>
      <c r="AD125" s="56" t="s">
        <v>717</v>
      </c>
      <c r="AE125" s="58" t="s">
        <v>717</v>
      </c>
      <c r="AF125" s="59" t="s">
        <v>717</v>
      </c>
      <c r="AG125" s="60" t="s">
        <v>717</v>
      </c>
      <c r="AH125" s="61" t="s">
        <v>717</v>
      </c>
      <c r="AI125" s="64"/>
      <c r="AJ125" s="66"/>
      <c r="AK125" s="22">
        <v>5</v>
      </c>
      <c r="AL125" s="23"/>
      <c r="AM125" s="23"/>
      <c r="AN125" s="123">
        <f>N125-AK125</f>
        <v>0</v>
      </c>
    </row>
    <row r="126" spans="1:41" s="3" customFormat="1" ht="14.5" x14ac:dyDescent="0.35">
      <c r="A126" s="24">
        <v>120</v>
      </c>
      <c r="B126" s="11" t="s">
        <v>5</v>
      </c>
      <c r="C126" s="11" t="s">
        <v>493</v>
      </c>
      <c r="D126" s="11">
        <v>117534</v>
      </c>
      <c r="E126" s="11">
        <v>48273</v>
      </c>
      <c r="F126" s="20" t="s">
        <v>560</v>
      </c>
      <c r="G126" s="20" t="s">
        <v>738</v>
      </c>
      <c r="H126" s="6">
        <v>29.116194</v>
      </c>
      <c r="I126" s="6">
        <v>71.749446000000006</v>
      </c>
      <c r="J126" s="12" t="s">
        <v>6</v>
      </c>
      <c r="K126" s="11" t="s">
        <v>6</v>
      </c>
      <c r="L126" s="11" t="s">
        <v>433</v>
      </c>
      <c r="M126" s="11" t="s">
        <v>422</v>
      </c>
      <c r="N126" s="39">
        <f t="shared" si="1"/>
        <v>3</v>
      </c>
      <c r="O126" s="41" t="s">
        <v>717</v>
      </c>
      <c r="P126" s="42" t="s">
        <v>717</v>
      </c>
      <c r="Q126" s="43" t="s">
        <v>717</v>
      </c>
      <c r="R126" s="44" t="s">
        <v>717</v>
      </c>
      <c r="S126" s="46" t="s">
        <v>585</v>
      </c>
      <c r="T126" s="46">
        <v>0</v>
      </c>
      <c r="U126" s="46">
        <v>3</v>
      </c>
      <c r="V126" s="46">
        <v>0</v>
      </c>
      <c r="W126" s="48" t="s">
        <v>717</v>
      </c>
      <c r="X126" s="49" t="s">
        <v>717</v>
      </c>
      <c r="Y126" s="50" t="s">
        <v>717</v>
      </c>
      <c r="Z126" s="51" t="s">
        <v>717</v>
      </c>
      <c r="AA126" s="53" t="s">
        <v>717</v>
      </c>
      <c r="AB126" s="54" t="s">
        <v>717</v>
      </c>
      <c r="AC126" s="55" t="s">
        <v>717</v>
      </c>
      <c r="AD126" s="56" t="s">
        <v>717</v>
      </c>
      <c r="AE126" s="58" t="s">
        <v>717</v>
      </c>
      <c r="AF126" s="59" t="s">
        <v>717</v>
      </c>
      <c r="AG126" s="60" t="s">
        <v>717</v>
      </c>
      <c r="AH126" s="61" t="s">
        <v>717</v>
      </c>
      <c r="AI126" s="64"/>
      <c r="AJ126" s="66"/>
      <c r="AK126" s="36">
        <v>1</v>
      </c>
      <c r="AL126" s="23"/>
      <c r="AM126" s="23"/>
      <c r="AN126" s="123">
        <f>N126-AK126</f>
        <v>2</v>
      </c>
      <c r="AO126" s="31">
        <f>SUM(P126:R126)-AK126</f>
        <v>-1</v>
      </c>
    </row>
    <row r="127" spans="1:41" s="3" customFormat="1" ht="14.5" x14ac:dyDescent="0.35">
      <c r="A127" s="24">
        <v>121</v>
      </c>
      <c r="B127" s="11" t="s">
        <v>5</v>
      </c>
      <c r="C127" s="11" t="s">
        <v>87</v>
      </c>
      <c r="D127" s="11">
        <v>104192</v>
      </c>
      <c r="E127" s="11">
        <v>48274</v>
      </c>
      <c r="F127" s="20" t="s">
        <v>560</v>
      </c>
      <c r="G127" s="20" t="s">
        <v>738</v>
      </c>
      <c r="H127" s="6">
        <v>29.085609999999999</v>
      </c>
      <c r="I127" s="6">
        <v>71.064210000000003</v>
      </c>
      <c r="J127" s="12" t="s">
        <v>6</v>
      </c>
      <c r="K127" s="11" t="s">
        <v>91</v>
      </c>
      <c r="L127" s="11" t="s">
        <v>433</v>
      </c>
      <c r="M127" s="11" t="s">
        <v>234</v>
      </c>
      <c r="N127" s="39">
        <f t="shared" si="1"/>
        <v>3</v>
      </c>
      <c r="O127" s="41" t="s">
        <v>592</v>
      </c>
      <c r="P127" s="42">
        <v>0</v>
      </c>
      <c r="Q127" s="43">
        <v>3</v>
      </c>
      <c r="R127" s="44">
        <v>0</v>
      </c>
      <c r="S127" s="46" t="s">
        <v>717</v>
      </c>
      <c r="T127" s="46" t="s">
        <v>717</v>
      </c>
      <c r="U127" s="46" t="s">
        <v>717</v>
      </c>
      <c r="V127" s="46" t="s">
        <v>717</v>
      </c>
      <c r="W127" s="48" t="s">
        <v>717</v>
      </c>
      <c r="X127" s="49" t="s">
        <v>717</v>
      </c>
      <c r="Y127" s="50" t="s">
        <v>717</v>
      </c>
      <c r="Z127" s="51" t="s">
        <v>717</v>
      </c>
      <c r="AA127" s="53" t="s">
        <v>717</v>
      </c>
      <c r="AB127" s="54" t="s">
        <v>717</v>
      </c>
      <c r="AC127" s="55" t="s">
        <v>717</v>
      </c>
      <c r="AD127" s="56" t="s">
        <v>717</v>
      </c>
      <c r="AE127" s="58" t="s">
        <v>717</v>
      </c>
      <c r="AF127" s="59" t="s">
        <v>717</v>
      </c>
      <c r="AG127" s="60" t="s">
        <v>717</v>
      </c>
      <c r="AH127" s="61" t="s">
        <v>717</v>
      </c>
      <c r="AI127" s="64"/>
      <c r="AJ127" s="66"/>
      <c r="AK127" s="22">
        <v>3</v>
      </c>
      <c r="AL127" s="23"/>
      <c r="AM127" s="23"/>
      <c r="AN127" s="123">
        <f>N127-AK127</f>
        <v>0</v>
      </c>
    </row>
    <row r="128" spans="1:41" s="3" customFormat="1" ht="14.5" x14ac:dyDescent="0.35">
      <c r="A128" s="24">
        <v>122</v>
      </c>
      <c r="B128" s="11" t="s">
        <v>5</v>
      </c>
      <c r="C128" s="11" t="s">
        <v>38</v>
      </c>
      <c r="D128" s="11">
        <v>119319</v>
      </c>
      <c r="E128" s="11">
        <v>48278</v>
      </c>
      <c r="F128" s="20" t="s">
        <v>559</v>
      </c>
      <c r="G128" s="20" t="s">
        <v>739</v>
      </c>
      <c r="H128" s="6">
        <v>29.138953000000001</v>
      </c>
      <c r="I128" s="6">
        <v>71.746094999999997</v>
      </c>
      <c r="J128" s="12" t="s">
        <v>6</v>
      </c>
      <c r="K128" s="11" t="s">
        <v>6</v>
      </c>
      <c r="L128" s="11" t="s">
        <v>433</v>
      </c>
      <c r="M128" s="11" t="s">
        <v>467</v>
      </c>
      <c r="N128" s="39">
        <f t="shared" si="1"/>
        <v>3</v>
      </c>
      <c r="O128" s="41" t="s">
        <v>717</v>
      </c>
      <c r="P128" s="42" t="s">
        <v>717</v>
      </c>
      <c r="Q128" s="43" t="s">
        <v>717</v>
      </c>
      <c r="R128" s="44" t="s">
        <v>717</v>
      </c>
      <c r="S128" s="46" t="s">
        <v>717</v>
      </c>
      <c r="T128" s="46" t="s">
        <v>717</v>
      </c>
      <c r="U128" s="46" t="s">
        <v>717</v>
      </c>
      <c r="V128" s="46" t="s">
        <v>717</v>
      </c>
      <c r="W128" s="48" t="s">
        <v>717</v>
      </c>
      <c r="X128" s="49" t="s">
        <v>717</v>
      </c>
      <c r="Y128" s="50" t="s">
        <v>717</v>
      </c>
      <c r="Z128" s="51" t="s">
        <v>717</v>
      </c>
      <c r="AA128" s="53" t="s">
        <v>717</v>
      </c>
      <c r="AB128" s="54" t="s">
        <v>717</v>
      </c>
      <c r="AC128" s="55" t="s">
        <v>717</v>
      </c>
      <c r="AD128" s="56" t="s">
        <v>717</v>
      </c>
      <c r="AE128" s="58" t="s">
        <v>717</v>
      </c>
      <c r="AF128" s="59" t="s">
        <v>717</v>
      </c>
      <c r="AG128" s="60" t="s">
        <v>717</v>
      </c>
      <c r="AH128" s="61" t="s">
        <v>717</v>
      </c>
      <c r="AI128" s="64">
        <v>3</v>
      </c>
      <c r="AJ128" s="66"/>
      <c r="AK128" s="22" t="s">
        <v>717</v>
      </c>
      <c r="AL128" s="23"/>
      <c r="AM128" s="23" t="s">
        <v>660</v>
      </c>
    </row>
    <row r="129" spans="1:41" s="3" customFormat="1" ht="14.5" x14ac:dyDescent="0.35">
      <c r="A129" s="24">
        <v>123</v>
      </c>
      <c r="B129" s="11" t="s">
        <v>5</v>
      </c>
      <c r="C129" s="11" t="s">
        <v>99</v>
      </c>
      <c r="D129" s="11">
        <v>102637</v>
      </c>
      <c r="E129" s="11">
        <v>48279</v>
      </c>
      <c r="F129" s="20" t="s">
        <v>560</v>
      </c>
      <c r="G129" s="20" t="s">
        <v>740</v>
      </c>
      <c r="H129" s="6">
        <v>29.145969999999998</v>
      </c>
      <c r="I129" s="6">
        <v>71.239949999999993</v>
      </c>
      <c r="J129" s="12" t="s">
        <v>6</v>
      </c>
      <c r="K129" s="11" t="s">
        <v>6</v>
      </c>
      <c r="L129" s="11" t="s">
        <v>433</v>
      </c>
      <c r="M129" s="11" t="s">
        <v>248</v>
      </c>
      <c r="N129" s="39">
        <f t="shared" si="1"/>
        <v>3</v>
      </c>
      <c r="O129" s="41" t="s">
        <v>597</v>
      </c>
      <c r="P129" s="42">
        <v>0</v>
      </c>
      <c r="Q129" s="43">
        <v>3</v>
      </c>
      <c r="R129" s="44">
        <v>0</v>
      </c>
      <c r="S129" s="46" t="s">
        <v>717</v>
      </c>
      <c r="T129" s="46" t="s">
        <v>717</v>
      </c>
      <c r="U129" s="46" t="s">
        <v>717</v>
      </c>
      <c r="V129" s="46" t="s">
        <v>717</v>
      </c>
      <c r="W129" s="48" t="s">
        <v>717</v>
      </c>
      <c r="X129" s="49" t="s">
        <v>717</v>
      </c>
      <c r="Y129" s="50" t="s">
        <v>717</v>
      </c>
      <c r="Z129" s="51" t="s">
        <v>717</v>
      </c>
      <c r="AA129" s="53" t="s">
        <v>717</v>
      </c>
      <c r="AB129" s="54" t="s">
        <v>717</v>
      </c>
      <c r="AC129" s="55" t="s">
        <v>717</v>
      </c>
      <c r="AD129" s="56" t="s">
        <v>717</v>
      </c>
      <c r="AE129" s="58" t="s">
        <v>717</v>
      </c>
      <c r="AF129" s="59" t="s">
        <v>717</v>
      </c>
      <c r="AG129" s="60" t="s">
        <v>717</v>
      </c>
      <c r="AH129" s="61" t="s">
        <v>717</v>
      </c>
      <c r="AI129" s="64"/>
      <c r="AJ129" s="66"/>
      <c r="AK129" s="22">
        <v>3</v>
      </c>
      <c r="AL129" s="23"/>
      <c r="AM129" s="23"/>
      <c r="AN129" s="123">
        <f>N129-AK129</f>
        <v>0</v>
      </c>
    </row>
    <row r="130" spans="1:41" s="3" customFormat="1" ht="14.5" x14ac:dyDescent="0.35">
      <c r="A130" s="24">
        <v>124</v>
      </c>
      <c r="B130" s="11" t="s">
        <v>5</v>
      </c>
      <c r="C130" s="11" t="s">
        <v>100</v>
      </c>
      <c r="D130" s="11">
        <v>102832</v>
      </c>
      <c r="E130" s="11">
        <v>48287</v>
      </c>
      <c r="F130" s="20" t="s">
        <v>560</v>
      </c>
      <c r="G130" s="20" t="s">
        <v>738</v>
      </c>
      <c r="H130" s="6">
        <v>29.154864400000001</v>
      </c>
      <c r="I130" s="6">
        <v>71.300598399999998</v>
      </c>
      <c r="J130" s="12" t="s">
        <v>6</v>
      </c>
      <c r="K130" s="11" t="s">
        <v>6</v>
      </c>
      <c r="L130" s="11" t="s">
        <v>433</v>
      </c>
      <c r="M130" s="11" t="s">
        <v>249</v>
      </c>
      <c r="N130" s="39">
        <f t="shared" si="1"/>
        <v>5</v>
      </c>
      <c r="O130" s="41" t="s">
        <v>593</v>
      </c>
      <c r="P130" s="42">
        <v>0</v>
      </c>
      <c r="Q130" s="43">
        <v>4</v>
      </c>
      <c r="R130" s="44">
        <v>0</v>
      </c>
      <c r="S130" s="46" t="s">
        <v>717</v>
      </c>
      <c r="T130" s="46" t="s">
        <v>717</v>
      </c>
      <c r="U130" s="46" t="s">
        <v>717</v>
      </c>
      <c r="V130" s="46" t="s">
        <v>717</v>
      </c>
      <c r="W130" s="48" t="s">
        <v>717</v>
      </c>
      <c r="X130" s="49" t="s">
        <v>717</v>
      </c>
      <c r="Y130" s="50" t="s">
        <v>717</v>
      </c>
      <c r="Z130" s="51" t="s">
        <v>717</v>
      </c>
      <c r="AA130" s="53" t="s">
        <v>717</v>
      </c>
      <c r="AB130" s="54" t="s">
        <v>717</v>
      </c>
      <c r="AC130" s="55" t="s">
        <v>717</v>
      </c>
      <c r="AD130" s="56" t="s">
        <v>717</v>
      </c>
      <c r="AE130" s="58" t="s">
        <v>717</v>
      </c>
      <c r="AF130" s="59" t="s">
        <v>717</v>
      </c>
      <c r="AG130" s="60" t="s">
        <v>717</v>
      </c>
      <c r="AH130" s="61" t="s">
        <v>717</v>
      </c>
      <c r="AI130" s="64">
        <v>1</v>
      </c>
      <c r="AJ130" s="66"/>
      <c r="AK130" s="22">
        <v>5</v>
      </c>
      <c r="AL130" s="23"/>
      <c r="AM130" s="23" t="s">
        <v>644</v>
      </c>
      <c r="AN130" s="123">
        <f>N130-AK130</f>
        <v>0</v>
      </c>
    </row>
    <row r="131" spans="1:41" s="3" customFormat="1" ht="14.5" x14ac:dyDescent="0.35">
      <c r="A131" s="24">
        <v>125</v>
      </c>
      <c r="B131" s="11" t="s">
        <v>5</v>
      </c>
      <c r="C131" s="11" t="s">
        <v>526</v>
      </c>
      <c r="D131" s="11">
        <v>119483</v>
      </c>
      <c r="E131" s="11">
        <v>48288</v>
      </c>
      <c r="F131" s="20" t="s">
        <v>559</v>
      </c>
      <c r="G131" s="20" t="s">
        <v>739</v>
      </c>
      <c r="H131" s="6">
        <v>29.232710000000001</v>
      </c>
      <c r="I131" s="6">
        <v>71.722089999999994</v>
      </c>
      <c r="J131" s="12" t="s">
        <v>6</v>
      </c>
      <c r="K131" s="11" t="s">
        <v>6</v>
      </c>
      <c r="L131" s="11" t="s">
        <v>433</v>
      </c>
      <c r="M131" s="11" t="s">
        <v>527</v>
      </c>
      <c r="N131" s="39">
        <f t="shared" si="1"/>
        <v>2</v>
      </c>
      <c r="O131" s="41" t="s">
        <v>717</v>
      </c>
      <c r="P131" s="42" t="s">
        <v>717</v>
      </c>
      <c r="Q131" s="43" t="s">
        <v>717</v>
      </c>
      <c r="R131" s="44" t="s">
        <v>717</v>
      </c>
      <c r="S131" s="46" t="s">
        <v>717</v>
      </c>
      <c r="T131" s="46" t="s">
        <v>717</v>
      </c>
      <c r="U131" s="46" t="s">
        <v>717</v>
      </c>
      <c r="V131" s="46" t="s">
        <v>717</v>
      </c>
      <c r="W131" s="48" t="s">
        <v>717</v>
      </c>
      <c r="X131" s="49" t="s">
        <v>717</v>
      </c>
      <c r="Y131" s="50" t="s">
        <v>717</v>
      </c>
      <c r="Z131" s="51" t="s">
        <v>717</v>
      </c>
      <c r="AA131" s="53" t="s">
        <v>717</v>
      </c>
      <c r="AB131" s="54" t="s">
        <v>717</v>
      </c>
      <c r="AC131" s="55" t="s">
        <v>717</v>
      </c>
      <c r="AD131" s="56" t="s">
        <v>717</v>
      </c>
      <c r="AE131" s="58" t="s">
        <v>717</v>
      </c>
      <c r="AF131" s="59" t="s">
        <v>717</v>
      </c>
      <c r="AG131" s="60" t="s">
        <v>717</v>
      </c>
      <c r="AH131" s="61" t="s">
        <v>717</v>
      </c>
      <c r="AI131" s="64">
        <v>2</v>
      </c>
      <c r="AJ131" s="66"/>
      <c r="AK131" s="22" t="s">
        <v>717</v>
      </c>
      <c r="AL131" s="23"/>
      <c r="AM131" s="23" t="s">
        <v>659</v>
      </c>
    </row>
    <row r="132" spans="1:41" s="3" customFormat="1" ht="14.5" x14ac:dyDescent="0.35">
      <c r="A132" s="24">
        <v>126</v>
      </c>
      <c r="B132" s="11" t="s">
        <v>5</v>
      </c>
      <c r="C132" s="11" t="s">
        <v>521</v>
      </c>
      <c r="D132" s="11">
        <v>117230</v>
      </c>
      <c r="E132" s="11">
        <v>48289</v>
      </c>
      <c r="F132" s="20" t="s">
        <v>560</v>
      </c>
      <c r="G132" s="20" t="s">
        <v>738</v>
      </c>
      <c r="H132" s="6">
        <v>29.089749999999999</v>
      </c>
      <c r="I132" s="6">
        <v>71.012110000000007</v>
      </c>
      <c r="J132" s="12" t="s">
        <v>388</v>
      </c>
      <c r="K132" s="11" t="s">
        <v>6</v>
      </c>
      <c r="L132" s="11" t="s">
        <v>433</v>
      </c>
      <c r="M132" s="11" t="s">
        <v>401</v>
      </c>
      <c r="N132" s="39">
        <f t="shared" si="1"/>
        <v>4</v>
      </c>
      <c r="O132" s="41" t="s">
        <v>592</v>
      </c>
      <c r="P132" s="42" t="s">
        <v>717</v>
      </c>
      <c r="Q132" s="43">
        <v>3</v>
      </c>
      <c r="R132" s="44" t="s">
        <v>717</v>
      </c>
      <c r="S132" s="46" t="s">
        <v>587</v>
      </c>
      <c r="T132" s="46" t="s">
        <v>717</v>
      </c>
      <c r="U132" s="46">
        <v>1</v>
      </c>
      <c r="V132" s="46" t="s">
        <v>717</v>
      </c>
      <c r="W132" s="48" t="s">
        <v>717</v>
      </c>
      <c r="X132" s="49" t="s">
        <v>717</v>
      </c>
      <c r="Y132" s="50" t="s">
        <v>717</v>
      </c>
      <c r="Z132" s="51" t="s">
        <v>717</v>
      </c>
      <c r="AA132" s="53" t="s">
        <v>717</v>
      </c>
      <c r="AB132" s="54" t="s">
        <v>717</v>
      </c>
      <c r="AC132" s="55" t="s">
        <v>717</v>
      </c>
      <c r="AD132" s="56" t="s">
        <v>717</v>
      </c>
      <c r="AE132" s="58" t="s">
        <v>717</v>
      </c>
      <c r="AF132" s="59" t="s">
        <v>717</v>
      </c>
      <c r="AG132" s="60" t="s">
        <v>717</v>
      </c>
      <c r="AH132" s="61" t="s">
        <v>717</v>
      </c>
      <c r="AI132" s="64"/>
      <c r="AJ132" s="66"/>
      <c r="AK132" s="36">
        <v>3</v>
      </c>
      <c r="AL132" s="23"/>
      <c r="AM132" s="23"/>
      <c r="AN132" s="123">
        <f>N132-AK132</f>
        <v>1</v>
      </c>
      <c r="AO132" s="31">
        <f>SUM(P132:R132)-AK132</f>
        <v>0</v>
      </c>
    </row>
    <row r="133" spans="1:41" s="3" customFormat="1" ht="14.5" x14ac:dyDescent="0.35">
      <c r="A133" s="24">
        <v>127</v>
      </c>
      <c r="B133" s="11" t="s">
        <v>5</v>
      </c>
      <c r="C133" s="11" t="s">
        <v>94</v>
      </c>
      <c r="D133" s="11">
        <v>102886</v>
      </c>
      <c r="E133" s="11">
        <v>48291</v>
      </c>
      <c r="F133" s="20" t="s">
        <v>560</v>
      </c>
      <c r="G133" s="20" t="s">
        <v>738</v>
      </c>
      <c r="H133" s="6">
        <v>29.20579</v>
      </c>
      <c r="I133" s="6">
        <v>71.400310000000005</v>
      </c>
      <c r="J133" s="12" t="s">
        <v>6</v>
      </c>
      <c r="K133" s="11" t="s">
        <v>6</v>
      </c>
      <c r="L133" s="11" t="s">
        <v>433</v>
      </c>
      <c r="M133" s="11" t="s">
        <v>241</v>
      </c>
      <c r="N133" s="39">
        <f t="shared" si="1"/>
        <v>4</v>
      </c>
      <c r="O133" s="41" t="s">
        <v>717</v>
      </c>
      <c r="P133" s="42" t="s">
        <v>717</v>
      </c>
      <c r="Q133" s="43" t="s">
        <v>717</v>
      </c>
      <c r="R133" s="44" t="s">
        <v>717</v>
      </c>
      <c r="S133" s="46" t="s">
        <v>590</v>
      </c>
      <c r="T133" s="46">
        <v>0</v>
      </c>
      <c r="U133" s="46">
        <v>3</v>
      </c>
      <c r="V133" s="46">
        <v>0</v>
      </c>
      <c r="W133" s="48" t="s">
        <v>717</v>
      </c>
      <c r="X133" s="49" t="s">
        <v>717</v>
      </c>
      <c r="Y133" s="50" t="s">
        <v>717</v>
      </c>
      <c r="Z133" s="51" t="s">
        <v>717</v>
      </c>
      <c r="AA133" s="53" t="s">
        <v>717</v>
      </c>
      <c r="AB133" s="54" t="s">
        <v>717</v>
      </c>
      <c r="AC133" s="55" t="s">
        <v>717</v>
      </c>
      <c r="AD133" s="56" t="s">
        <v>717</v>
      </c>
      <c r="AE133" s="58" t="s">
        <v>717</v>
      </c>
      <c r="AF133" s="59" t="s">
        <v>717</v>
      </c>
      <c r="AG133" s="60" t="s">
        <v>717</v>
      </c>
      <c r="AH133" s="61" t="s">
        <v>717</v>
      </c>
      <c r="AI133" s="64">
        <v>1</v>
      </c>
      <c r="AJ133" s="66"/>
      <c r="AK133" s="22" t="s">
        <v>717</v>
      </c>
      <c r="AL133" s="23"/>
      <c r="AM133" s="23" t="s">
        <v>670</v>
      </c>
    </row>
    <row r="134" spans="1:41" s="3" customFormat="1" ht="14.5" x14ac:dyDescent="0.35">
      <c r="A134" s="24">
        <v>128</v>
      </c>
      <c r="B134" s="11" t="s">
        <v>5</v>
      </c>
      <c r="C134" s="11" t="s">
        <v>361</v>
      </c>
      <c r="D134" s="11">
        <v>114953</v>
      </c>
      <c r="E134" s="11">
        <v>48292</v>
      </c>
      <c r="F134" s="20" t="s">
        <v>560</v>
      </c>
      <c r="G134" s="20" t="s">
        <v>738</v>
      </c>
      <c r="H134" s="6">
        <v>29.10971</v>
      </c>
      <c r="I134" s="6">
        <v>71.146910000000005</v>
      </c>
      <c r="J134" s="12" t="s">
        <v>6</v>
      </c>
      <c r="K134" s="11" t="s">
        <v>6</v>
      </c>
      <c r="L134" s="11" t="s">
        <v>433</v>
      </c>
      <c r="M134" s="11" t="s">
        <v>321</v>
      </c>
      <c r="N134" s="39">
        <f t="shared" si="1"/>
        <v>3</v>
      </c>
      <c r="O134" s="41" t="s">
        <v>601</v>
      </c>
      <c r="P134" s="42">
        <v>0</v>
      </c>
      <c r="Q134" s="43">
        <v>3</v>
      </c>
      <c r="R134" s="44">
        <v>0</v>
      </c>
      <c r="S134" s="46" t="s">
        <v>717</v>
      </c>
      <c r="T134" s="46" t="s">
        <v>717</v>
      </c>
      <c r="U134" s="46" t="s">
        <v>717</v>
      </c>
      <c r="V134" s="46" t="s">
        <v>717</v>
      </c>
      <c r="W134" s="48" t="s">
        <v>717</v>
      </c>
      <c r="X134" s="49" t="s">
        <v>717</v>
      </c>
      <c r="Y134" s="50" t="s">
        <v>717</v>
      </c>
      <c r="Z134" s="51" t="s">
        <v>717</v>
      </c>
      <c r="AA134" s="53" t="s">
        <v>717</v>
      </c>
      <c r="AB134" s="54" t="s">
        <v>717</v>
      </c>
      <c r="AC134" s="55" t="s">
        <v>717</v>
      </c>
      <c r="AD134" s="56" t="s">
        <v>717</v>
      </c>
      <c r="AE134" s="58" t="s">
        <v>717</v>
      </c>
      <c r="AF134" s="59" t="s">
        <v>717</v>
      </c>
      <c r="AG134" s="60" t="s">
        <v>717</v>
      </c>
      <c r="AH134" s="61" t="s">
        <v>717</v>
      </c>
      <c r="AI134" s="64"/>
      <c r="AJ134" s="66"/>
      <c r="AK134" s="22">
        <v>3</v>
      </c>
      <c r="AL134" s="23"/>
      <c r="AM134" s="23"/>
      <c r="AN134" s="123">
        <f>N134-AK134</f>
        <v>0</v>
      </c>
    </row>
    <row r="135" spans="1:41" s="3" customFormat="1" ht="14.5" x14ac:dyDescent="0.35">
      <c r="A135" s="24">
        <v>129</v>
      </c>
      <c r="B135" s="11" t="s">
        <v>5</v>
      </c>
      <c r="C135" s="12" t="s">
        <v>474</v>
      </c>
      <c r="D135" s="11">
        <v>102915</v>
      </c>
      <c r="E135" s="11">
        <v>48293</v>
      </c>
      <c r="F135" s="20" t="s">
        <v>559</v>
      </c>
      <c r="G135" s="20" t="s">
        <v>739</v>
      </c>
      <c r="H135" s="6">
        <v>28.97269</v>
      </c>
      <c r="I135" s="6">
        <v>71.53331</v>
      </c>
      <c r="J135" s="12" t="s">
        <v>6</v>
      </c>
      <c r="K135" s="11" t="s">
        <v>6</v>
      </c>
      <c r="L135" s="11" t="s">
        <v>433</v>
      </c>
      <c r="M135" s="11" t="s">
        <v>298</v>
      </c>
      <c r="N135" s="39">
        <f t="shared" si="1"/>
        <v>3</v>
      </c>
      <c r="O135" s="41" t="s">
        <v>717</v>
      </c>
      <c r="P135" s="42" t="s">
        <v>717</v>
      </c>
      <c r="Q135" s="43" t="s">
        <v>717</v>
      </c>
      <c r="R135" s="44" t="s">
        <v>717</v>
      </c>
      <c r="S135" s="46" t="s">
        <v>717</v>
      </c>
      <c r="T135" s="46" t="s">
        <v>717</v>
      </c>
      <c r="U135" s="46" t="s">
        <v>717</v>
      </c>
      <c r="V135" s="46" t="s">
        <v>717</v>
      </c>
      <c r="W135" s="48" t="s">
        <v>717</v>
      </c>
      <c r="X135" s="49" t="s">
        <v>717</v>
      </c>
      <c r="Y135" s="50" t="s">
        <v>717</v>
      </c>
      <c r="Z135" s="51" t="s">
        <v>717</v>
      </c>
      <c r="AA135" s="53" t="s">
        <v>717</v>
      </c>
      <c r="AB135" s="54" t="s">
        <v>717</v>
      </c>
      <c r="AC135" s="55" t="s">
        <v>717</v>
      </c>
      <c r="AD135" s="56" t="s">
        <v>717</v>
      </c>
      <c r="AE135" s="58" t="s">
        <v>717</v>
      </c>
      <c r="AF135" s="59" t="s">
        <v>717</v>
      </c>
      <c r="AG135" s="60" t="s">
        <v>717</v>
      </c>
      <c r="AH135" s="61" t="s">
        <v>717</v>
      </c>
      <c r="AI135" s="64">
        <v>3</v>
      </c>
      <c r="AJ135" s="66"/>
      <c r="AK135" s="22" t="s">
        <v>717</v>
      </c>
      <c r="AL135" s="23"/>
      <c r="AM135" s="23" t="s">
        <v>638</v>
      </c>
    </row>
    <row r="136" spans="1:41" s="3" customFormat="1" ht="14.5" x14ac:dyDescent="0.35">
      <c r="A136" s="24">
        <v>130</v>
      </c>
      <c r="B136" s="11" t="s">
        <v>5</v>
      </c>
      <c r="C136" s="11" t="s">
        <v>487</v>
      </c>
      <c r="D136" s="11">
        <v>119482</v>
      </c>
      <c r="E136" s="11">
        <v>48294</v>
      </c>
      <c r="F136" s="20" t="s">
        <v>560</v>
      </c>
      <c r="G136" s="20" t="s">
        <v>739</v>
      </c>
      <c r="H136" s="6">
        <v>29.034859999999998</v>
      </c>
      <c r="I136" s="6">
        <v>71.295609999999996</v>
      </c>
      <c r="J136" s="12" t="s">
        <v>388</v>
      </c>
      <c r="K136" s="11" t="s">
        <v>6</v>
      </c>
      <c r="L136" s="11" t="s">
        <v>433</v>
      </c>
      <c r="M136" s="11" t="s">
        <v>528</v>
      </c>
      <c r="N136" s="39">
        <f t="shared" ref="N136:N199" si="3">SUM(P136:R136,T136:V136,X136:Z136,AB136:AD136,AF136:AH136,,,,,AI136:AJ136,)</f>
        <v>4</v>
      </c>
      <c r="O136" s="41" t="s">
        <v>717</v>
      </c>
      <c r="P136" s="42" t="s">
        <v>717</v>
      </c>
      <c r="Q136" s="43" t="s">
        <v>717</v>
      </c>
      <c r="R136" s="44" t="s">
        <v>717</v>
      </c>
      <c r="S136" s="46" t="s">
        <v>717</v>
      </c>
      <c r="T136" s="46" t="s">
        <v>717</v>
      </c>
      <c r="U136" s="46" t="s">
        <v>717</v>
      </c>
      <c r="V136" s="46" t="s">
        <v>717</v>
      </c>
      <c r="W136" s="48" t="s">
        <v>717</v>
      </c>
      <c r="X136" s="49" t="s">
        <v>717</v>
      </c>
      <c r="Y136" s="50" t="s">
        <v>717</v>
      </c>
      <c r="Z136" s="51" t="s">
        <v>717</v>
      </c>
      <c r="AA136" s="53" t="s">
        <v>717</v>
      </c>
      <c r="AB136" s="54" t="s">
        <v>717</v>
      </c>
      <c r="AC136" s="55" t="s">
        <v>717</v>
      </c>
      <c r="AD136" s="56" t="s">
        <v>717</v>
      </c>
      <c r="AE136" s="58" t="s">
        <v>717</v>
      </c>
      <c r="AF136" s="59" t="s">
        <v>717</v>
      </c>
      <c r="AG136" s="60" t="s">
        <v>717</v>
      </c>
      <c r="AH136" s="61" t="s">
        <v>717</v>
      </c>
      <c r="AI136" s="64">
        <v>4</v>
      </c>
      <c r="AJ136" s="66"/>
      <c r="AK136" s="22" t="s">
        <v>717</v>
      </c>
      <c r="AL136" s="23"/>
      <c r="AM136" s="23" t="s">
        <v>634</v>
      </c>
    </row>
    <row r="137" spans="1:41" s="3" customFormat="1" ht="14.5" x14ac:dyDescent="0.35">
      <c r="A137" s="24">
        <v>131</v>
      </c>
      <c r="B137" s="11" t="s">
        <v>5</v>
      </c>
      <c r="C137" s="11" t="s">
        <v>86</v>
      </c>
      <c r="D137" s="11">
        <v>103160</v>
      </c>
      <c r="E137" s="11">
        <v>48297</v>
      </c>
      <c r="F137" s="20" t="s">
        <v>559</v>
      </c>
      <c r="G137" s="20" t="s">
        <v>739</v>
      </c>
      <c r="H137" s="6">
        <v>29.104109999999999</v>
      </c>
      <c r="I137" s="6">
        <v>71.571240000000003</v>
      </c>
      <c r="J137" s="12" t="s">
        <v>6</v>
      </c>
      <c r="K137" s="11" t="s">
        <v>6</v>
      </c>
      <c r="L137" s="11" t="s">
        <v>433</v>
      </c>
      <c r="M137" s="11" t="s">
        <v>232</v>
      </c>
      <c r="N137" s="39">
        <f t="shared" si="3"/>
        <v>2</v>
      </c>
      <c r="O137" s="41" t="s">
        <v>717</v>
      </c>
      <c r="P137" s="42" t="s">
        <v>717</v>
      </c>
      <c r="Q137" s="43" t="s">
        <v>717</v>
      </c>
      <c r="R137" s="44" t="s">
        <v>717</v>
      </c>
      <c r="S137" s="46" t="s">
        <v>717</v>
      </c>
      <c r="T137" s="46" t="s">
        <v>717</v>
      </c>
      <c r="U137" s="46" t="s">
        <v>717</v>
      </c>
      <c r="V137" s="46" t="s">
        <v>717</v>
      </c>
      <c r="W137" s="48" t="s">
        <v>717</v>
      </c>
      <c r="X137" s="49" t="s">
        <v>717</v>
      </c>
      <c r="Y137" s="50" t="s">
        <v>717</v>
      </c>
      <c r="Z137" s="51" t="s">
        <v>717</v>
      </c>
      <c r="AA137" s="53" t="s">
        <v>717</v>
      </c>
      <c r="AB137" s="54" t="s">
        <v>717</v>
      </c>
      <c r="AC137" s="55" t="s">
        <v>717</v>
      </c>
      <c r="AD137" s="56" t="s">
        <v>717</v>
      </c>
      <c r="AE137" s="58" t="s">
        <v>717</v>
      </c>
      <c r="AF137" s="59" t="s">
        <v>717</v>
      </c>
      <c r="AG137" s="60" t="s">
        <v>717</v>
      </c>
      <c r="AH137" s="61" t="s">
        <v>717</v>
      </c>
      <c r="AI137" s="64">
        <v>2</v>
      </c>
      <c r="AJ137" s="66"/>
      <c r="AK137" s="22" t="s">
        <v>717</v>
      </c>
      <c r="AL137" s="23"/>
      <c r="AM137" s="23" t="s">
        <v>640</v>
      </c>
    </row>
    <row r="138" spans="1:41" s="3" customFormat="1" ht="14.5" x14ac:dyDescent="0.35">
      <c r="A138" s="24">
        <v>132</v>
      </c>
      <c r="B138" s="11" t="s">
        <v>5</v>
      </c>
      <c r="C138" s="11" t="s">
        <v>84</v>
      </c>
      <c r="D138" s="11">
        <v>103730</v>
      </c>
      <c r="E138" s="11">
        <v>48298</v>
      </c>
      <c r="F138" s="20" t="s">
        <v>560</v>
      </c>
      <c r="G138" s="20" t="s">
        <v>739</v>
      </c>
      <c r="H138" s="6">
        <v>29.044557600000001</v>
      </c>
      <c r="I138" s="6">
        <v>71.270609199999996</v>
      </c>
      <c r="J138" s="12" t="s">
        <v>6</v>
      </c>
      <c r="K138" s="11" t="s">
        <v>6</v>
      </c>
      <c r="L138" s="11" t="s">
        <v>433</v>
      </c>
      <c r="M138" s="11" t="s">
        <v>226</v>
      </c>
      <c r="N138" s="39">
        <f t="shared" si="3"/>
        <v>4</v>
      </c>
      <c r="O138" s="41" t="s">
        <v>717</v>
      </c>
      <c r="P138" s="42" t="s">
        <v>717</v>
      </c>
      <c r="Q138" s="43" t="s">
        <v>717</v>
      </c>
      <c r="R138" s="44" t="s">
        <v>717</v>
      </c>
      <c r="S138" s="46" t="s">
        <v>717</v>
      </c>
      <c r="T138" s="46" t="s">
        <v>717</v>
      </c>
      <c r="U138" s="46" t="s">
        <v>717</v>
      </c>
      <c r="V138" s="46" t="s">
        <v>717</v>
      </c>
      <c r="W138" s="48" t="s">
        <v>717</v>
      </c>
      <c r="X138" s="49" t="s">
        <v>717</v>
      </c>
      <c r="Y138" s="50" t="s">
        <v>717</v>
      </c>
      <c r="Z138" s="51" t="s">
        <v>717</v>
      </c>
      <c r="AA138" s="53" t="s">
        <v>717</v>
      </c>
      <c r="AB138" s="54" t="s">
        <v>717</v>
      </c>
      <c r="AC138" s="55" t="s">
        <v>717</v>
      </c>
      <c r="AD138" s="56" t="s">
        <v>717</v>
      </c>
      <c r="AE138" s="58" t="s">
        <v>717</v>
      </c>
      <c r="AF138" s="59" t="s">
        <v>717</v>
      </c>
      <c r="AG138" s="60" t="s">
        <v>717</v>
      </c>
      <c r="AH138" s="61" t="s">
        <v>717</v>
      </c>
      <c r="AI138" s="64">
        <v>4</v>
      </c>
      <c r="AJ138" s="66"/>
      <c r="AK138" s="22" t="s">
        <v>717</v>
      </c>
      <c r="AL138" s="23"/>
      <c r="AM138" s="23" t="s">
        <v>634</v>
      </c>
    </row>
    <row r="139" spans="1:41" s="3" customFormat="1" ht="14.5" x14ac:dyDescent="0.35">
      <c r="A139" s="24">
        <v>133</v>
      </c>
      <c r="B139" s="11" t="s">
        <v>5</v>
      </c>
      <c r="C139" s="11" t="s">
        <v>60</v>
      </c>
      <c r="D139" s="11">
        <v>103750</v>
      </c>
      <c r="E139" s="11">
        <v>48299</v>
      </c>
      <c r="F139" s="20" t="s">
        <v>559</v>
      </c>
      <c r="G139" s="20" t="s">
        <v>739</v>
      </c>
      <c r="H139" s="6">
        <v>29.139949999999999</v>
      </c>
      <c r="I139" s="6">
        <v>71.787670000000006</v>
      </c>
      <c r="J139" s="12" t="s">
        <v>6</v>
      </c>
      <c r="K139" s="11" t="s">
        <v>6</v>
      </c>
      <c r="L139" s="11" t="s">
        <v>433</v>
      </c>
      <c r="M139" s="11" t="s">
        <v>299</v>
      </c>
      <c r="N139" s="39">
        <f t="shared" si="3"/>
        <v>3</v>
      </c>
      <c r="O139" s="41" t="s">
        <v>717</v>
      </c>
      <c r="P139" s="42" t="s">
        <v>717</v>
      </c>
      <c r="Q139" s="43" t="s">
        <v>717</v>
      </c>
      <c r="R139" s="44" t="s">
        <v>717</v>
      </c>
      <c r="S139" s="46" t="s">
        <v>717</v>
      </c>
      <c r="T139" s="46" t="s">
        <v>717</v>
      </c>
      <c r="U139" s="46" t="s">
        <v>717</v>
      </c>
      <c r="V139" s="46" t="s">
        <v>717</v>
      </c>
      <c r="W139" s="48" t="s">
        <v>717</v>
      </c>
      <c r="X139" s="49" t="s">
        <v>717</v>
      </c>
      <c r="Y139" s="50" t="s">
        <v>717</v>
      </c>
      <c r="Z139" s="51" t="s">
        <v>717</v>
      </c>
      <c r="AA139" s="53" t="s">
        <v>717</v>
      </c>
      <c r="AB139" s="54" t="s">
        <v>717</v>
      </c>
      <c r="AC139" s="55" t="s">
        <v>717</v>
      </c>
      <c r="AD139" s="56" t="s">
        <v>717</v>
      </c>
      <c r="AE139" s="58" t="s">
        <v>717</v>
      </c>
      <c r="AF139" s="59" t="s">
        <v>717</v>
      </c>
      <c r="AG139" s="60" t="s">
        <v>717</v>
      </c>
      <c r="AH139" s="61" t="s">
        <v>717</v>
      </c>
      <c r="AI139" s="64">
        <v>3</v>
      </c>
      <c r="AJ139" s="66"/>
      <c r="AK139" s="22" t="s">
        <v>717</v>
      </c>
      <c r="AL139" s="23"/>
      <c r="AM139" s="23" t="s">
        <v>624</v>
      </c>
    </row>
    <row r="140" spans="1:41" s="3" customFormat="1" ht="14.5" x14ac:dyDescent="0.35">
      <c r="A140" s="24">
        <v>134</v>
      </c>
      <c r="B140" s="11" t="s">
        <v>5</v>
      </c>
      <c r="C140" s="11" t="s">
        <v>515</v>
      </c>
      <c r="D140" s="11">
        <v>115231</v>
      </c>
      <c r="E140" s="11">
        <v>48300</v>
      </c>
      <c r="F140" s="20" t="s">
        <v>559</v>
      </c>
      <c r="G140" s="20" t="s">
        <v>739</v>
      </c>
      <c r="H140" s="6">
        <v>29.08971</v>
      </c>
      <c r="I140" s="6">
        <v>71.704610000000002</v>
      </c>
      <c r="J140" s="12" t="s">
        <v>6</v>
      </c>
      <c r="K140" s="11" t="s">
        <v>6</v>
      </c>
      <c r="L140" s="11" t="s">
        <v>433</v>
      </c>
      <c r="M140" s="11" t="s">
        <v>227</v>
      </c>
      <c r="N140" s="39">
        <f t="shared" si="3"/>
        <v>3</v>
      </c>
      <c r="O140" s="41" t="s">
        <v>717</v>
      </c>
      <c r="P140" s="42" t="s">
        <v>717</v>
      </c>
      <c r="Q140" s="43" t="s">
        <v>717</v>
      </c>
      <c r="R140" s="44" t="s">
        <v>717</v>
      </c>
      <c r="S140" s="46" t="s">
        <v>717</v>
      </c>
      <c r="T140" s="46" t="s">
        <v>717</v>
      </c>
      <c r="U140" s="46" t="s">
        <v>717</v>
      </c>
      <c r="V140" s="46" t="s">
        <v>717</v>
      </c>
      <c r="W140" s="48" t="s">
        <v>717</v>
      </c>
      <c r="X140" s="49" t="s">
        <v>717</v>
      </c>
      <c r="Y140" s="50" t="s">
        <v>717</v>
      </c>
      <c r="Z140" s="51" t="s">
        <v>717</v>
      </c>
      <c r="AA140" s="53" t="s">
        <v>717</v>
      </c>
      <c r="AB140" s="54" t="s">
        <v>717</v>
      </c>
      <c r="AC140" s="55" t="s">
        <v>717</v>
      </c>
      <c r="AD140" s="56" t="s">
        <v>717</v>
      </c>
      <c r="AE140" s="58" t="s">
        <v>717</v>
      </c>
      <c r="AF140" s="59" t="s">
        <v>717</v>
      </c>
      <c r="AG140" s="60" t="s">
        <v>717</v>
      </c>
      <c r="AH140" s="61" t="s">
        <v>717</v>
      </c>
      <c r="AI140" s="64">
        <v>3</v>
      </c>
      <c r="AJ140" s="66"/>
      <c r="AK140" s="22" t="s">
        <v>717</v>
      </c>
      <c r="AL140" s="23"/>
      <c r="AM140" s="23" t="s">
        <v>625</v>
      </c>
    </row>
    <row r="141" spans="1:41" s="3" customFormat="1" ht="14.5" x14ac:dyDescent="0.35">
      <c r="A141" s="24">
        <v>135</v>
      </c>
      <c r="B141" s="11" t="s">
        <v>5</v>
      </c>
      <c r="C141" s="11" t="s">
        <v>495</v>
      </c>
      <c r="D141" s="11">
        <v>118643</v>
      </c>
      <c r="E141" s="11">
        <v>48301</v>
      </c>
      <c r="F141" s="20" t="s">
        <v>559</v>
      </c>
      <c r="G141" s="20" t="s">
        <v>739</v>
      </c>
      <c r="H141" s="6">
        <v>29.273769999999999</v>
      </c>
      <c r="I141" s="6">
        <v>71.488060000000004</v>
      </c>
      <c r="J141" s="12" t="s">
        <v>6</v>
      </c>
      <c r="K141" s="11" t="s">
        <v>6</v>
      </c>
      <c r="L141" s="11" t="s">
        <v>433</v>
      </c>
      <c r="M141" s="11" t="s">
        <v>445</v>
      </c>
      <c r="N141" s="39">
        <f t="shared" si="3"/>
        <v>4</v>
      </c>
      <c r="O141" s="41" t="s">
        <v>606</v>
      </c>
      <c r="P141" s="42">
        <v>0</v>
      </c>
      <c r="Q141" s="43">
        <v>2</v>
      </c>
      <c r="R141" s="44">
        <v>0</v>
      </c>
      <c r="S141" s="46" t="s">
        <v>717</v>
      </c>
      <c r="T141" s="46" t="s">
        <v>717</v>
      </c>
      <c r="U141" s="46" t="s">
        <v>717</v>
      </c>
      <c r="V141" s="46" t="s">
        <v>717</v>
      </c>
      <c r="W141" s="48" t="s">
        <v>717</v>
      </c>
      <c r="X141" s="49" t="s">
        <v>717</v>
      </c>
      <c r="Y141" s="50" t="s">
        <v>717</v>
      </c>
      <c r="Z141" s="51" t="s">
        <v>717</v>
      </c>
      <c r="AA141" s="53" t="s">
        <v>717</v>
      </c>
      <c r="AB141" s="54" t="s">
        <v>717</v>
      </c>
      <c r="AC141" s="55" t="s">
        <v>717</v>
      </c>
      <c r="AD141" s="56" t="s">
        <v>717</v>
      </c>
      <c r="AE141" s="58" t="s">
        <v>717</v>
      </c>
      <c r="AF141" s="59" t="s">
        <v>717</v>
      </c>
      <c r="AG141" s="60" t="s">
        <v>717</v>
      </c>
      <c r="AH141" s="61" t="s">
        <v>717</v>
      </c>
      <c r="AI141" s="64">
        <v>2</v>
      </c>
      <c r="AJ141" s="66"/>
      <c r="AK141" s="36">
        <v>2</v>
      </c>
      <c r="AL141" s="23"/>
      <c r="AM141" s="23" t="s">
        <v>639</v>
      </c>
      <c r="AN141" s="123">
        <f>N141-AK141</f>
        <v>2</v>
      </c>
      <c r="AO141" s="31">
        <f>SUM(P141:R141)-AK141</f>
        <v>0</v>
      </c>
    </row>
    <row r="142" spans="1:41" s="3" customFormat="1" ht="14.5" x14ac:dyDescent="0.35">
      <c r="A142" s="24">
        <v>136</v>
      </c>
      <c r="B142" s="11" t="s">
        <v>5</v>
      </c>
      <c r="C142" s="11" t="s">
        <v>496</v>
      </c>
      <c r="D142" s="11">
        <v>116733</v>
      </c>
      <c r="E142" s="11">
        <v>48302</v>
      </c>
      <c r="F142" s="20" t="s">
        <v>559</v>
      </c>
      <c r="G142" s="20" t="s">
        <v>739</v>
      </c>
      <c r="H142" s="6">
        <v>29.116540000000001</v>
      </c>
      <c r="I142" s="6">
        <v>71.400220000000004</v>
      </c>
      <c r="J142" s="12" t="s">
        <v>6</v>
      </c>
      <c r="K142" s="11" t="s">
        <v>6</v>
      </c>
      <c r="L142" s="11" t="s">
        <v>433</v>
      </c>
      <c r="M142" s="11" t="s">
        <v>233</v>
      </c>
      <c r="N142" s="39">
        <f t="shared" si="3"/>
        <v>3</v>
      </c>
      <c r="O142" s="41" t="s">
        <v>717</v>
      </c>
      <c r="P142" s="42" t="s">
        <v>717</v>
      </c>
      <c r="Q142" s="43" t="s">
        <v>717</v>
      </c>
      <c r="R142" s="44" t="s">
        <v>717</v>
      </c>
      <c r="S142" s="46" t="s">
        <v>717</v>
      </c>
      <c r="T142" s="46" t="s">
        <v>717</v>
      </c>
      <c r="U142" s="46" t="s">
        <v>717</v>
      </c>
      <c r="V142" s="46" t="s">
        <v>717</v>
      </c>
      <c r="W142" s="48" t="s">
        <v>717</v>
      </c>
      <c r="X142" s="49" t="s">
        <v>717</v>
      </c>
      <c r="Y142" s="50" t="s">
        <v>717</v>
      </c>
      <c r="Z142" s="51" t="s">
        <v>717</v>
      </c>
      <c r="AA142" s="53" t="s">
        <v>717</v>
      </c>
      <c r="AB142" s="54" t="s">
        <v>717</v>
      </c>
      <c r="AC142" s="55" t="s">
        <v>717</v>
      </c>
      <c r="AD142" s="56" t="s">
        <v>717</v>
      </c>
      <c r="AE142" s="58" t="s">
        <v>717</v>
      </c>
      <c r="AF142" s="59" t="s">
        <v>717</v>
      </c>
      <c r="AG142" s="60" t="s">
        <v>717</v>
      </c>
      <c r="AH142" s="61" t="s">
        <v>717</v>
      </c>
      <c r="AI142" s="64">
        <v>3</v>
      </c>
      <c r="AJ142" s="66"/>
      <c r="AK142" s="22" t="s">
        <v>717</v>
      </c>
      <c r="AL142" s="23"/>
      <c r="AM142" s="23" t="s">
        <v>701</v>
      </c>
    </row>
    <row r="143" spans="1:41" s="3" customFormat="1" ht="14.5" x14ac:dyDescent="0.35">
      <c r="A143" s="24">
        <v>137</v>
      </c>
      <c r="B143" s="11" t="s">
        <v>5</v>
      </c>
      <c r="C143" s="11" t="s">
        <v>72</v>
      </c>
      <c r="D143" s="11">
        <v>104147</v>
      </c>
      <c r="E143" s="11">
        <v>48304</v>
      </c>
      <c r="F143" s="20" t="s">
        <v>559</v>
      </c>
      <c r="G143" s="20" t="s">
        <v>739</v>
      </c>
      <c r="H143" s="6">
        <v>29.292439999999999</v>
      </c>
      <c r="I143" s="6">
        <v>71.032920000000004</v>
      </c>
      <c r="J143" s="12" t="s">
        <v>6</v>
      </c>
      <c r="K143" s="11" t="s">
        <v>6</v>
      </c>
      <c r="L143" s="11" t="s">
        <v>433</v>
      </c>
      <c r="M143" s="11" t="s">
        <v>210</v>
      </c>
      <c r="N143" s="39">
        <f t="shared" si="3"/>
        <v>3</v>
      </c>
      <c r="O143" s="41" t="s">
        <v>717</v>
      </c>
      <c r="P143" s="42" t="s">
        <v>717</v>
      </c>
      <c r="Q143" s="43" t="s">
        <v>717</v>
      </c>
      <c r="R143" s="44" t="s">
        <v>717</v>
      </c>
      <c r="S143" s="46" t="s">
        <v>717</v>
      </c>
      <c r="T143" s="46" t="s">
        <v>717</v>
      </c>
      <c r="U143" s="46" t="s">
        <v>717</v>
      </c>
      <c r="V143" s="46" t="s">
        <v>717</v>
      </c>
      <c r="W143" s="48" t="s">
        <v>717</v>
      </c>
      <c r="X143" s="49" t="s">
        <v>717</v>
      </c>
      <c r="Y143" s="50" t="s">
        <v>717</v>
      </c>
      <c r="Z143" s="51" t="s">
        <v>717</v>
      </c>
      <c r="AA143" s="53" t="s">
        <v>717</v>
      </c>
      <c r="AB143" s="54" t="s">
        <v>717</v>
      </c>
      <c r="AC143" s="55" t="s">
        <v>717</v>
      </c>
      <c r="AD143" s="56" t="s">
        <v>717</v>
      </c>
      <c r="AE143" s="58" t="s">
        <v>717</v>
      </c>
      <c r="AF143" s="59" t="s">
        <v>717</v>
      </c>
      <c r="AG143" s="60" t="s">
        <v>717</v>
      </c>
      <c r="AH143" s="61" t="s">
        <v>717</v>
      </c>
      <c r="AI143" s="64">
        <v>3</v>
      </c>
      <c r="AJ143" s="66"/>
      <c r="AK143" s="22" t="s">
        <v>717</v>
      </c>
      <c r="AL143" s="23"/>
      <c r="AM143" s="23" t="s">
        <v>693</v>
      </c>
    </row>
    <row r="144" spans="1:41" s="3" customFormat="1" ht="14.5" x14ac:dyDescent="0.35">
      <c r="A144" s="24">
        <v>138</v>
      </c>
      <c r="B144" s="11" t="s">
        <v>5</v>
      </c>
      <c r="C144" s="11" t="s">
        <v>70</v>
      </c>
      <c r="D144" s="11">
        <v>111861</v>
      </c>
      <c r="E144" s="11">
        <v>48305</v>
      </c>
      <c r="F144" s="20" t="s">
        <v>560</v>
      </c>
      <c r="G144" s="20" t="s">
        <v>739</v>
      </c>
      <c r="H144" s="6">
        <v>29.31908</v>
      </c>
      <c r="I144" s="6">
        <v>71.708389999999994</v>
      </c>
      <c r="J144" s="12" t="s">
        <v>6</v>
      </c>
      <c r="K144" s="11" t="s">
        <v>6</v>
      </c>
      <c r="L144" s="11" t="s">
        <v>433</v>
      </c>
      <c r="M144" s="11" t="s">
        <v>208</v>
      </c>
      <c r="N144" s="39">
        <f t="shared" si="3"/>
        <v>3</v>
      </c>
      <c r="O144" s="41" t="s">
        <v>717</v>
      </c>
      <c r="P144" s="42" t="s">
        <v>717</v>
      </c>
      <c r="Q144" s="43" t="s">
        <v>717</v>
      </c>
      <c r="R144" s="44" t="s">
        <v>717</v>
      </c>
      <c r="S144" s="46" t="s">
        <v>580</v>
      </c>
      <c r="T144" s="46">
        <v>0</v>
      </c>
      <c r="U144" s="46">
        <v>3</v>
      </c>
      <c r="V144" s="46">
        <v>0</v>
      </c>
      <c r="W144" s="48" t="s">
        <v>717</v>
      </c>
      <c r="X144" s="49" t="s">
        <v>717</v>
      </c>
      <c r="Y144" s="50" t="s">
        <v>717</v>
      </c>
      <c r="Z144" s="51" t="s">
        <v>717</v>
      </c>
      <c r="AA144" s="53" t="s">
        <v>717</v>
      </c>
      <c r="AB144" s="54" t="s">
        <v>717</v>
      </c>
      <c r="AC144" s="55" t="s">
        <v>717</v>
      </c>
      <c r="AD144" s="56" t="s">
        <v>717</v>
      </c>
      <c r="AE144" s="58" t="s">
        <v>717</v>
      </c>
      <c r="AF144" s="59" t="s">
        <v>717</v>
      </c>
      <c r="AG144" s="60" t="s">
        <v>717</v>
      </c>
      <c r="AH144" s="61" t="s">
        <v>717</v>
      </c>
      <c r="AI144" s="64"/>
      <c r="AJ144" s="66"/>
      <c r="AK144" s="22" t="s">
        <v>717</v>
      </c>
      <c r="AL144" s="23"/>
      <c r="AM144" s="23"/>
    </row>
    <row r="145" spans="1:41" s="3" customFormat="1" ht="14.5" x14ac:dyDescent="0.35">
      <c r="A145" s="24">
        <v>139</v>
      </c>
      <c r="B145" s="11" t="s">
        <v>5</v>
      </c>
      <c r="C145" s="11" t="s">
        <v>46</v>
      </c>
      <c r="D145" s="11">
        <v>114051</v>
      </c>
      <c r="E145" s="11">
        <v>48306</v>
      </c>
      <c r="F145" s="20" t="s">
        <v>560</v>
      </c>
      <c r="G145" s="20" t="s">
        <v>738</v>
      </c>
      <c r="H145" s="6">
        <v>29.565460000000002</v>
      </c>
      <c r="I145" s="6">
        <v>71.65128</v>
      </c>
      <c r="J145" s="12" t="s">
        <v>6</v>
      </c>
      <c r="K145" s="11" t="s">
        <v>14</v>
      </c>
      <c r="L145" s="11" t="s">
        <v>433</v>
      </c>
      <c r="M145" s="11" t="s">
        <v>181</v>
      </c>
      <c r="N145" s="39">
        <f t="shared" si="3"/>
        <v>5</v>
      </c>
      <c r="O145" s="41" t="s">
        <v>593</v>
      </c>
      <c r="P145" s="42">
        <v>0</v>
      </c>
      <c r="Q145" s="43">
        <v>4</v>
      </c>
      <c r="R145" s="44">
        <v>0</v>
      </c>
      <c r="S145" s="46" t="s">
        <v>717</v>
      </c>
      <c r="T145" s="46" t="s">
        <v>717</v>
      </c>
      <c r="U145" s="46" t="s">
        <v>717</v>
      </c>
      <c r="V145" s="46" t="s">
        <v>717</v>
      </c>
      <c r="W145" s="48" t="s">
        <v>717</v>
      </c>
      <c r="X145" s="49" t="s">
        <v>717</v>
      </c>
      <c r="Y145" s="50" t="s">
        <v>717</v>
      </c>
      <c r="Z145" s="51" t="s">
        <v>717</v>
      </c>
      <c r="AA145" s="53" t="s">
        <v>717</v>
      </c>
      <c r="AB145" s="54" t="s">
        <v>717</v>
      </c>
      <c r="AC145" s="55" t="s">
        <v>717</v>
      </c>
      <c r="AD145" s="56" t="s">
        <v>717</v>
      </c>
      <c r="AE145" s="58" t="s">
        <v>717</v>
      </c>
      <c r="AF145" s="59" t="s">
        <v>717</v>
      </c>
      <c r="AG145" s="60" t="s">
        <v>717</v>
      </c>
      <c r="AH145" s="61" t="s">
        <v>717</v>
      </c>
      <c r="AI145" s="64">
        <v>1</v>
      </c>
      <c r="AJ145" s="66"/>
      <c r="AK145" s="22">
        <v>5</v>
      </c>
      <c r="AL145" s="23"/>
      <c r="AM145" s="23" t="s">
        <v>670</v>
      </c>
      <c r="AN145" s="123">
        <f>N145-AK145</f>
        <v>0</v>
      </c>
    </row>
    <row r="146" spans="1:41" s="3" customFormat="1" ht="14.5" x14ac:dyDescent="0.35">
      <c r="A146" s="24">
        <v>140</v>
      </c>
      <c r="B146" s="11" t="s">
        <v>5</v>
      </c>
      <c r="C146" s="18" t="s">
        <v>45</v>
      </c>
      <c r="D146" s="11">
        <v>102866</v>
      </c>
      <c r="E146" s="11">
        <v>48307</v>
      </c>
      <c r="F146" s="20" t="s">
        <v>560</v>
      </c>
      <c r="G146" s="20" t="s">
        <v>738</v>
      </c>
      <c r="H146" s="6">
        <v>29.636420000000001</v>
      </c>
      <c r="I146" s="6">
        <v>71.905529999999999</v>
      </c>
      <c r="J146" s="12" t="s">
        <v>14</v>
      </c>
      <c r="K146" s="11" t="s">
        <v>14</v>
      </c>
      <c r="L146" s="11" t="s">
        <v>433</v>
      </c>
      <c r="M146" s="11" t="s">
        <v>180</v>
      </c>
      <c r="N146" s="39">
        <f t="shared" si="3"/>
        <v>3</v>
      </c>
      <c r="O146" s="41" t="s">
        <v>717</v>
      </c>
      <c r="P146" s="42" t="s">
        <v>717</v>
      </c>
      <c r="Q146" s="43" t="s">
        <v>717</v>
      </c>
      <c r="R146" s="44" t="s">
        <v>717</v>
      </c>
      <c r="S146" s="46" t="s">
        <v>717</v>
      </c>
      <c r="T146" s="46" t="s">
        <v>717</v>
      </c>
      <c r="U146" s="46" t="s">
        <v>717</v>
      </c>
      <c r="V146" s="46" t="s">
        <v>717</v>
      </c>
      <c r="W146" s="48" t="s">
        <v>717</v>
      </c>
      <c r="X146" s="49" t="s">
        <v>717</v>
      </c>
      <c r="Y146" s="50" t="s">
        <v>717</v>
      </c>
      <c r="Z146" s="51" t="s">
        <v>717</v>
      </c>
      <c r="AA146" s="53" t="s">
        <v>717</v>
      </c>
      <c r="AB146" s="54" t="s">
        <v>717</v>
      </c>
      <c r="AC146" s="55" t="s">
        <v>717</v>
      </c>
      <c r="AD146" s="56" t="s">
        <v>717</v>
      </c>
      <c r="AE146" s="58" t="s">
        <v>717</v>
      </c>
      <c r="AF146" s="59" t="s">
        <v>717</v>
      </c>
      <c r="AG146" s="60" t="s">
        <v>717</v>
      </c>
      <c r="AH146" s="61" t="s">
        <v>717</v>
      </c>
      <c r="AI146" s="64">
        <v>3</v>
      </c>
      <c r="AJ146" s="66"/>
      <c r="AK146" s="36">
        <v>1</v>
      </c>
      <c r="AL146" s="23"/>
      <c r="AM146" s="23" t="s">
        <v>697</v>
      </c>
      <c r="AN146" s="123">
        <f>N146-AK146</f>
        <v>2</v>
      </c>
      <c r="AO146" s="31">
        <f>SUM(P146:R146)-AK146</f>
        <v>-1</v>
      </c>
    </row>
    <row r="147" spans="1:41" s="3" customFormat="1" ht="14.5" x14ac:dyDescent="0.35">
      <c r="A147" s="24">
        <v>141</v>
      </c>
      <c r="B147" s="11" t="s">
        <v>5</v>
      </c>
      <c r="C147" s="11" t="s">
        <v>66</v>
      </c>
      <c r="D147" s="11">
        <v>102944</v>
      </c>
      <c r="E147" s="11">
        <v>48308</v>
      </c>
      <c r="F147" s="20" t="s">
        <v>560</v>
      </c>
      <c r="G147" s="20" t="s">
        <v>738</v>
      </c>
      <c r="H147" s="6">
        <v>29.802209999999999</v>
      </c>
      <c r="I147" s="6">
        <v>71.752690000000001</v>
      </c>
      <c r="J147" s="12" t="s">
        <v>14</v>
      </c>
      <c r="K147" s="11" t="s">
        <v>14</v>
      </c>
      <c r="L147" s="11" t="s">
        <v>433</v>
      </c>
      <c r="M147" s="11" t="s">
        <v>200</v>
      </c>
      <c r="N147" s="39">
        <f t="shared" si="3"/>
        <v>3</v>
      </c>
      <c r="O147" s="41" t="s">
        <v>717</v>
      </c>
      <c r="P147" s="42" t="s">
        <v>717</v>
      </c>
      <c r="Q147" s="43" t="s">
        <v>717</v>
      </c>
      <c r="R147" s="44" t="s">
        <v>717</v>
      </c>
      <c r="S147" s="46" t="s">
        <v>654</v>
      </c>
      <c r="T147" s="46">
        <v>1</v>
      </c>
      <c r="U147" s="46">
        <v>0</v>
      </c>
      <c r="V147" s="46">
        <v>0</v>
      </c>
      <c r="W147" s="48" t="s">
        <v>717</v>
      </c>
      <c r="X147" s="49" t="s">
        <v>717</v>
      </c>
      <c r="Y147" s="50" t="s">
        <v>717</v>
      </c>
      <c r="Z147" s="51" t="s">
        <v>717</v>
      </c>
      <c r="AA147" s="53" t="s">
        <v>717</v>
      </c>
      <c r="AB147" s="54" t="s">
        <v>717</v>
      </c>
      <c r="AC147" s="55" t="s">
        <v>717</v>
      </c>
      <c r="AD147" s="56" t="s">
        <v>717</v>
      </c>
      <c r="AE147" s="58" t="s">
        <v>717</v>
      </c>
      <c r="AF147" s="59" t="s">
        <v>717</v>
      </c>
      <c r="AG147" s="60" t="s">
        <v>717</v>
      </c>
      <c r="AH147" s="61" t="s">
        <v>717</v>
      </c>
      <c r="AI147" s="64">
        <v>2</v>
      </c>
      <c r="AJ147" s="66"/>
      <c r="AK147" s="22" t="s">
        <v>717</v>
      </c>
      <c r="AL147" s="23"/>
      <c r="AM147" s="23" t="s">
        <v>655</v>
      </c>
    </row>
    <row r="148" spans="1:41" s="3" customFormat="1" ht="14.5" x14ac:dyDescent="0.35">
      <c r="A148" s="24">
        <v>142</v>
      </c>
      <c r="B148" s="11" t="s">
        <v>5</v>
      </c>
      <c r="C148" s="11" t="s">
        <v>65</v>
      </c>
      <c r="D148" s="11">
        <v>103211</v>
      </c>
      <c r="E148" s="11">
        <v>48309</v>
      </c>
      <c r="F148" s="20" t="s">
        <v>560</v>
      </c>
      <c r="G148" s="20" t="s">
        <v>738</v>
      </c>
      <c r="H148" s="6">
        <v>29.547129999999999</v>
      </c>
      <c r="I148" s="6">
        <v>71.649789999999996</v>
      </c>
      <c r="J148" s="12" t="s">
        <v>14</v>
      </c>
      <c r="K148" s="11" t="s">
        <v>14</v>
      </c>
      <c r="L148" s="11" t="s">
        <v>433</v>
      </c>
      <c r="M148" s="11" t="s">
        <v>199</v>
      </c>
      <c r="N148" s="39">
        <f t="shared" si="3"/>
        <v>4</v>
      </c>
      <c r="O148" s="41" t="s">
        <v>592</v>
      </c>
      <c r="P148" s="42">
        <v>0</v>
      </c>
      <c r="Q148" s="43">
        <v>3</v>
      </c>
      <c r="R148" s="44">
        <v>0</v>
      </c>
      <c r="S148" s="46" t="s">
        <v>717</v>
      </c>
      <c r="T148" s="46" t="s">
        <v>717</v>
      </c>
      <c r="U148" s="46" t="s">
        <v>717</v>
      </c>
      <c r="V148" s="46" t="s">
        <v>717</v>
      </c>
      <c r="W148" s="48" t="s">
        <v>717</v>
      </c>
      <c r="X148" s="49" t="s">
        <v>717</v>
      </c>
      <c r="Y148" s="50" t="s">
        <v>717</v>
      </c>
      <c r="Z148" s="51" t="s">
        <v>717</v>
      </c>
      <c r="AA148" s="53" t="s">
        <v>717</v>
      </c>
      <c r="AB148" s="54" t="s">
        <v>717</v>
      </c>
      <c r="AC148" s="55" t="s">
        <v>717</v>
      </c>
      <c r="AD148" s="56" t="s">
        <v>717</v>
      </c>
      <c r="AE148" s="58" t="s">
        <v>717</v>
      </c>
      <c r="AF148" s="59" t="s">
        <v>717</v>
      </c>
      <c r="AG148" s="60" t="s">
        <v>717</v>
      </c>
      <c r="AH148" s="61" t="s">
        <v>717</v>
      </c>
      <c r="AI148" s="64">
        <v>1</v>
      </c>
      <c r="AJ148" s="66"/>
      <c r="AK148" s="36">
        <v>3</v>
      </c>
      <c r="AL148" s="23"/>
      <c r="AM148" s="23" t="s">
        <v>633</v>
      </c>
      <c r="AN148" s="123">
        <f>N148-AK148</f>
        <v>1</v>
      </c>
      <c r="AO148" s="31">
        <f>SUM(P148:R148)-AK148</f>
        <v>0</v>
      </c>
    </row>
    <row r="149" spans="1:41" s="3" customFormat="1" ht="14.5" x14ac:dyDescent="0.35">
      <c r="A149" s="24">
        <v>143</v>
      </c>
      <c r="B149" s="11" t="s">
        <v>5</v>
      </c>
      <c r="C149" s="11" t="s">
        <v>444</v>
      </c>
      <c r="D149" s="11">
        <v>115146</v>
      </c>
      <c r="E149" s="11">
        <v>48310</v>
      </c>
      <c r="F149" s="20" t="s">
        <v>560</v>
      </c>
      <c r="G149" s="20" t="s">
        <v>738</v>
      </c>
      <c r="H149" s="6">
        <v>29.48038</v>
      </c>
      <c r="I149" s="6">
        <v>71.646280000000004</v>
      </c>
      <c r="J149" s="12" t="s">
        <v>14</v>
      </c>
      <c r="K149" s="11" t="s">
        <v>14</v>
      </c>
      <c r="L149" s="11" t="s">
        <v>433</v>
      </c>
      <c r="M149" s="11" t="s">
        <v>198</v>
      </c>
      <c r="N149" s="39">
        <f t="shared" si="3"/>
        <v>4</v>
      </c>
      <c r="O149" s="41" t="s">
        <v>717</v>
      </c>
      <c r="P149" s="42" t="s">
        <v>717</v>
      </c>
      <c r="Q149" s="43" t="s">
        <v>717</v>
      </c>
      <c r="R149" s="44" t="s">
        <v>717</v>
      </c>
      <c r="S149" s="46" t="s">
        <v>635</v>
      </c>
      <c r="T149" s="46">
        <v>0</v>
      </c>
      <c r="U149" s="46">
        <v>1</v>
      </c>
      <c r="V149" s="46">
        <v>0</v>
      </c>
      <c r="W149" s="48" t="s">
        <v>717</v>
      </c>
      <c r="X149" s="49" t="s">
        <v>717</v>
      </c>
      <c r="Y149" s="50" t="s">
        <v>717</v>
      </c>
      <c r="Z149" s="51" t="s">
        <v>717</v>
      </c>
      <c r="AA149" s="53" t="s">
        <v>717</v>
      </c>
      <c r="AB149" s="54" t="s">
        <v>717</v>
      </c>
      <c r="AC149" s="55" t="s">
        <v>717</v>
      </c>
      <c r="AD149" s="56" t="s">
        <v>717</v>
      </c>
      <c r="AE149" s="58" t="s">
        <v>717</v>
      </c>
      <c r="AF149" s="59" t="s">
        <v>717</v>
      </c>
      <c r="AG149" s="60" t="s">
        <v>717</v>
      </c>
      <c r="AH149" s="61" t="s">
        <v>717</v>
      </c>
      <c r="AI149" s="64">
        <v>3</v>
      </c>
      <c r="AJ149" s="66"/>
      <c r="AK149" s="22" t="s">
        <v>717</v>
      </c>
      <c r="AL149" s="23"/>
      <c r="AM149" s="23" t="s">
        <v>636</v>
      </c>
    </row>
    <row r="150" spans="1:41" s="3" customFormat="1" ht="14.5" x14ac:dyDescent="0.35">
      <c r="A150" s="24">
        <v>144</v>
      </c>
      <c r="B150" s="11" t="s">
        <v>5</v>
      </c>
      <c r="C150" s="18" t="s">
        <v>47</v>
      </c>
      <c r="D150" s="11">
        <v>102754</v>
      </c>
      <c r="E150" s="11">
        <v>48313</v>
      </c>
      <c r="F150" s="20" t="s">
        <v>560</v>
      </c>
      <c r="G150" s="20" t="s">
        <v>738</v>
      </c>
      <c r="H150" s="6">
        <v>29.551850000000002</v>
      </c>
      <c r="I150" s="6">
        <v>71.625559999999993</v>
      </c>
      <c r="J150" s="12" t="s">
        <v>14</v>
      </c>
      <c r="K150" s="11" t="s">
        <v>14</v>
      </c>
      <c r="L150" s="11" t="s">
        <v>433</v>
      </c>
      <c r="M150" s="11" t="s">
        <v>182</v>
      </c>
      <c r="N150" s="39">
        <f t="shared" si="3"/>
        <v>2</v>
      </c>
      <c r="O150" s="41" t="s">
        <v>717</v>
      </c>
      <c r="P150" s="42" t="s">
        <v>717</v>
      </c>
      <c r="Q150" s="43" t="s">
        <v>717</v>
      </c>
      <c r="R150" s="44" t="s">
        <v>717</v>
      </c>
      <c r="S150" s="46" t="s">
        <v>717</v>
      </c>
      <c r="T150" s="46" t="s">
        <v>717</v>
      </c>
      <c r="U150" s="46" t="s">
        <v>717</v>
      </c>
      <c r="V150" s="46" t="s">
        <v>717</v>
      </c>
      <c r="W150" s="48" t="s">
        <v>717</v>
      </c>
      <c r="X150" s="49" t="s">
        <v>717</v>
      </c>
      <c r="Y150" s="50" t="s">
        <v>717</v>
      </c>
      <c r="Z150" s="51" t="s">
        <v>717</v>
      </c>
      <c r="AA150" s="53" t="s">
        <v>717</v>
      </c>
      <c r="AB150" s="54" t="s">
        <v>717</v>
      </c>
      <c r="AC150" s="55" t="s">
        <v>717</v>
      </c>
      <c r="AD150" s="56" t="s">
        <v>717</v>
      </c>
      <c r="AE150" s="58" t="s">
        <v>717</v>
      </c>
      <c r="AF150" s="59" t="s">
        <v>717</v>
      </c>
      <c r="AG150" s="60" t="s">
        <v>717</v>
      </c>
      <c r="AH150" s="61" t="s">
        <v>717</v>
      </c>
      <c r="AI150" s="64">
        <v>2</v>
      </c>
      <c r="AJ150" s="66"/>
      <c r="AK150" s="22" t="s">
        <v>717</v>
      </c>
      <c r="AL150" s="23"/>
      <c r="AM150" s="23" t="s">
        <v>643</v>
      </c>
    </row>
    <row r="151" spans="1:41" s="3" customFormat="1" ht="14.5" x14ac:dyDescent="0.35">
      <c r="A151" s="24">
        <v>145</v>
      </c>
      <c r="B151" s="11" t="s">
        <v>5</v>
      </c>
      <c r="C151" s="11" t="s">
        <v>73</v>
      </c>
      <c r="D151" s="11">
        <v>119541</v>
      </c>
      <c r="E151" s="11">
        <v>48316</v>
      </c>
      <c r="F151" s="20" t="s">
        <v>559</v>
      </c>
      <c r="G151" s="20" t="s">
        <v>739</v>
      </c>
      <c r="H151" s="6">
        <v>29.504249999999999</v>
      </c>
      <c r="I151" s="6">
        <v>71.520009999999999</v>
      </c>
      <c r="J151" s="12" t="s">
        <v>20</v>
      </c>
      <c r="K151" s="11" t="s">
        <v>20</v>
      </c>
      <c r="L151" s="11" t="s">
        <v>433</v>
      </c>
      <c r="M151" s="11" t="s">
        <v>537</v>
      </c>
      <c r="N151" s="39">
        <f t="shared" si="3"/>
        <v>2</v>
      </c>
      <c r="O151" s="41" t="s">
        <v>717</v>
      </c>
      <c r="P151" s="42" t="s">
        <v>717</v>
      </c>
      <c r="Q151" s="43" t="s">
        <v>717</v>
      </c>
      <c r="R151" s="44" t="s">
        <v>717</v>
      </c>
      <c r="S151" s="46" t="s">
        <v>717</v>
      </c>
      <c r="T151" s="46" t="s">
        <v>717</v>
      </c>
      <c r="U151" s="46" t="s">
        <v>717</v>
      </c>
      <c r="V151" s="46" t="s">
        <v>717</v>
      </c>
      <c r="W151" s="48" t="s">
        <v>717</v>
      </c>
      <c r="X151" s="49" t="s">
        <v>717</v>
      </c>
      <c r="Y151" s="50" t="s">
        <v>717</v>
      </c>
      <c r="Z151" s="51" t="s">
        <v>717</v>
      </c>
      <c r="AA151" s="53" t="s">
        <v>717</v>
      </c>
      <c r="AB151" s="54" t="s">
        <v>717</v>
      </c>
      <c r="AC151" s="55" t="s">
        <v>717</v>
      </c>
      <c r="AD151" s="56" t="s">
        <v>717</v>
      </c>
      <c r="AE151" s="58" t="s">
        <v>717</v>
      </c>
      <c r="AF151" s="59" t="s">
        <v>717</v>
      </c>
      <c r="AG151" s="60" t="s">
        <v>717</v>
      </c>
      <c r="AH151" s="61" t="s">
        <v>717</v>
      </c>
      <c r="AI151" s="64">
        <v>2</v>
      </c>
      <c r="AJ151" s="66"/>
      <c r="AK151" s="22" t="s">
        <v>717</v>
      </c>
      <c r="AL151" s="23"/>
      <c r="AM151" s="23" t="s">
        <v>650</v>
      </c>
    </row>
    <row r="152" spans="1:41" s="3" customFormat="1" ht="14.5" x14ac:dyDescent="0.35">
      <c r="A152" s="24">
        <v>146</v>
      </c>
      <c r="B152" s="11" t="s">
        <v>5</v>
      </c>
      <c r="C152" s="11" t="s">
        <v>54</v>
      </c>
      <c r="D152" s="11">
        <v>102807</v>
      </c>
      <c r="E152" s="11">
        <v>48318</v>
      </c>
      <c r="F152" s="20" t="s">
        <v>560</v>
      </c>
      <c r="G152" s="20" t="s">
        <v>738</v>
      </c>
      <c r="H152" s="6">
        <v>29.567820000000001</v>
      </c>
      <c r="I152" s="6">
        <v>71.716049999999996</v>
      </c>
      <c r="J152" s="12" t="s">
        <v>20</v>
      </c>
      <c r="K152" s="11" t="s">
        <v>14</v>
      </c>
      <c r="L152" s="11" t="s">
        <v>433</v>
      </c>
      <c r="M152" s="11" t="s">
        <v>190</v>
      </c>
      <c r="N152" s="39">
        <f t="shared" si="3"/>
        <v>3</v>
      </c>
      <c r="O152" s="41" t="s">
        <v>592</v>
      </c>
      <c r="P152" s="42">
        <v>0</v>
      </c>
      <c r="Q152" s="43">
        <v>3</v>
      </c>
      <c r="R152" s="44">
        <v>0</v>
      </c>
      <c r="S152" s="46" t="s">
        <v>717</v>
      </c>
      <c r="T152" s="46" t="s">
        <v>717</v>
      </c>
      <c r="U152" s="46" t="s">
        <v>717</v>
      </c>
      <c r="V152" s="46" t="s">
        <v>717</v>
      </c>
      <c r="W152" s="48" t="s">
        <v>717</v>
      </c>
      <c r="X152" s="49" t="s">
        <v>717</v>
      </c>
      <c r="Y152" s="50" t="s">
        <v>717</v>
      </c>
      <c r="Z152" s="51" t="s">
        <v>717</v>
      </c>
      <c r="AA152" s="53" t="s">
        <v>717</v>
      </c>
      <c r="AB152" s="54" t="s">
        <v>717</v>
      </c>
      <c r="AC152" s="55" t="s">
        <v>717</v>
      </c>
      <c r="AD152" s="56" t="s">
        <v>717</v>
      </c>
      <c r="AE152" s="58" t="s">
        <v>717</v>
      </c>
      <c r="AF152" s="59" t="s">
        <v>717</v>
      </c>
      <c r="AG152" s="60" t="s">
        <v>717</v>
      </c>
      <c r="AH152" s="61" t="s">
        <v>717</v>
      </c>
      <c r="AI152" s="64"/>
      <c r="AJ152" s="66"/>
      <c r="AK152" s="22">
        <v>3</v>
      </c>
      <c r="AL152" s="23"/>
      <c r="AM152" s="23"/>
      <c r="AN152" s="123">
        <f>N152-AK152</f>
        <v>0</v>
      </c>
    </row>
    <row r="153" spans="1:41" s="3" customFormat="1" ht="14.5" x14ac:dyDescent="0.35">
      <c r="A153" s="24">
        <v>147</v>
      </c>
      <c r="B153" s="11" t="s">
        <v>5</v>
      </c>
      <c r="C153" s="11" t="s">
        <v>513</v>
      </c>
      <c r="D153" s="11">
        <v>114791</v>
      </c>
      <c r="E153" s="11">
        <v>48319</v>
      </c>
      <c r="F153" s="20" t="s">
        <v>559</v>
      </c>
      <c r="G153" s="20" t="s">
        <v>739</v>
      </c>
      <c r="H153" s="6">
        <v>29.624072999999999</v>
      </c>
      <c r="I153" s="6">
        <v>71.917901000000001</v>
      </c>
      <c r="J153" s="12" t="s">
        <v>20</v>
      </c>
      <c r="K153" s="11" t="s">
        <v>14</v>
      </c>
      <c r="L153" s="11" t="s">
        <v>433</v>
      </c>
      <c r="M153" s="11" t="s">
        <v>205</v>
      </c>
      <c r="N153" s="39">
        <f t="shared" si="3"/>
        <v>3</v>
      </c>
      <c r="O153" s="41" t="s">
        <v>606</v>
      </c>
      <c r="P153" s="42">
        <v>0</v>
      </c>
      <c r="Q153" s="43">
        <v>2</v>
      </c>
      <c r="R153" s="44">
        <v>0</v>
      </c>
      <c r="S153" s="46" t="s">
        <v>717</v>
      </c>
      <c r="T153" s="46" t="s">
        <v>717</v>
      </c>
      <c r="U153" s="46" t="s">
        <v>717</v>
      </c>
      <c r="V153" s="46" t="s">
        <v>717</v>
      </c>
      <c r="W153" s="48" t="s">
        <v>717</v>
      </c>
      <c r="X153" s="49" t="s">
        <v>717</v>
      </c>
      <c r="Y153" s="50" t="s">
        <v>717</v>
      </c>
      <c r="Z153" s="51" t="s">
        <v>717</v>
      </c>
      <c r="AA153" s="53" t="s">
        <v>717</v>
      </c>
      <c r="AB153" s="54" t="s">
        <v>717</v>
      </c>
      <c r="AC153" s="55" t="s">
        <v>717</v>
      </c>
      <c r="AD153" s="56" t="s">
        <v>717</v>
      </c>
      <c r="AE153" s="58" t="s">
        <v>717</v>
      </c>
      <c r="AF153" s="59" t="s">
        <v>717</v>
      </c>
      <c r="AG153" s="60" t="s">
        <v>717</v>
      </c>
      <c r="AH153" s="61" t="s">
        <v>717</v>
      </c>
      <c r="AI153" s="64">
        <v>1</v>
      </c>
      <c r="AJ153" s="66"/>
      <c r="AK153" s="22" t="s">
        <v>717</v>
      </c>
      <c r="AL153" s="23"/>
      <c r="AM153" s="23" t="s">
        <v>658</v>
      </c>
    </row>
    <row r="154" spans="1:41" s="3" customFormat="1" ht="14.5" x14ac:dyDescent="0.35">
      <c r="A154" s="24">
        <v>148</v>
      </c>
      <c r="B154" s="11" t="s">
        <v>5</v>
      </c>
      <c r="C154" s="11" t="s">
        <v>139</v>
      </c>
      <c r="D154" s="11">
        <v>102839</v>
      </c>
      <c r="E154" s="11">
        <v>48320</v>
      </c>
      <c r="F154" s="20" t="s">
        <v>559</v>
      </c>
      <c r="G154" s="20" t="s">
        <v>739</v>
      </c>
      <c r="H154" s="6">
        <v>29.59027</v>
      </c>
      <c r="I154" s="6">
        <v>71.614260000000002</v>
      </c>
      <c r="J154" s="12" t="s">
        <v>20</v>
      </c>
      <c r="K154" s="11" t="s">
        <v>6</v>
      </c>
      <c r="L154" s="11" t="s">
        <v>433</v>
      </c>
      <c r="M154" s="11" t="s">
        <v>206</v>
      </c>
      <c r="N154" s="39">
        <f t="shared" si="3"/>
        <v>3</v>
      </c>
      <c r="O154" s="41" t="s">
        <v>717</v>
      </c>
      <c r="P154" s="42" t="s">
        <v>717</v>
      </c>
      <c r="Q154" s="43" t="s">
        <v>717</v>
      </c>
      <c r="R154" s="44" t="s">
        <v>717</v>
      </c>
      <c r="S154" s="46" t="s">
        <v>717</v>
      </c>
      <c r="T154" s="46" t="s">
        <v>717</v>
      </c>
      <c r="U154" s="46" t="s">
        <v>717</v>
      </c>
      <c r="V154" s="46" t="s">
        <v>717</v>
      </c>
      <c r="W154" s="48" t="s">
        <v>717</v>
      </c>
      <c r="X154" s="49" t="s">
        <v>717</v>
      </c>
      <c r="Y154" s="50" t="s">
        <v>717</v>
      </c>
      <c r="Z154" s="51" t="s">
        <v>717</v>
      </c>
      <c r="AA154" s="53" t="s">
        <v>717</v>
      </c>
      <c r="AB154" s="54" t="s">
        <v>717</v>
      </c>
      <c r="AC154" s="55" t="s">
        <v>717</v>
      </c>
      <c r="AD154" s="56" t="s">
        <v>717</v>
      </c>
      <c r="AE154" s="58" t="s">
        <v>717</v>
      </c>
      <c r="AF154" s="59" t="s">
        <v>717</v>
      </c>
      <c r="AG154" s="60" t="s">
        <v>717</v>
      </c>
      <c r="AH154" s="61" t="s">
        <v>717</v>
      </c>
      <c r="AI154" s="64">
        <v>3</v>
      </c>
      <c r="AJ154" s="66"/>
      <c r="AK154" s="22" t="s">
        <v>717</v>
      </c>
      <c r="AL154" s="23"/>
      <c r="AM154" s="23" t="s">
        <v>647</v>
      </c>
    </row>
    <row r="155" spans="1:41" s="3" customFormat="1" ht="14.5" x14ac:dyDescent="0.35">
      <c r="A155" s="24">
        <v>149</v>
      </c>
      <c r="B155" s="11" t="s">
        <v>5</v>
      </c>
      <c r="C155" s="12" t="s">
        <v>69</v>
      </c>
      <c r="D155" s="11">
        <v>102847</v>
      </c>
      <c r="E155" s="11">
        <v>48321</v>
      </c>
      <c r="F155" s="20" t="s">
        <v>559</v>
      </c>
      <c r="G155" s="20" t="s">
        <v>739</v>
      </c>
      <c r="H155" s="6">
        <v>29.82047</v>
      </c>
      <c r="I155" s="6">
        <v>71.669150000000002</v>
      </c>
      <c r="J155" s="12" t="s">
        <v>20</v>
      </c>
      <c r="K155" s="11" t="s">
        <v>6</v>
      </c>
      <c r="L155" s="11" t="s">
        <v>433</v>
      </c>
      <c r="M155" s="11" t="s">
        <v>204</v>
      </c>
      <c r="N155" s="39">
        <f t="shared" si="3"/>
        <v>3</v>
      </c>
      <c r="O155" s="41" t="s">
        <v>717</v>
      </c>
      <c r="P155" s="42" t="s">
        <v>717</v>
      </c>
      <c r="Q155" s="43" t="s">
        <v>717</v>
      </c>
      <c r="R155" s="44" t="s">
        <v>717</v>
      </c>
      <c r="S155" s="46" t="s">
        <v>717</v>
      </c>
      <c r="T155" s="46" t="s">
        <v>717</v>
      </c>
      <c r="U155" s="46" t="s">
        <v>717</v>
      </c>
      <c r="V155" s="46" t="s">
        <v>717</v>
      </c>
      <c r="W155" s="48" t="s">
        <v>717</v>
      </c>
      <c r="X155" s="49" t="s">
        <v>717</v>
      </c>
      <c r="Y155" s="50" t="s">
        <v>717</v>
      </c>
      <c r="Z155" s="51" t="s">
        <v>717</v>
      </c>
      <c r="AA155" s="53" t="s">
        <v>717</v>
      </c>
      <c r="AB155" s="54" t="s">
        <v>717</v>
      </c>
      <c r="AC155" s="55" t="s">
        <v>717</v>
      </c>
      <c r="AD155" s="56" t="s">
        <v>717</v>
      </c>
      <c r="AE155" s="58" t="s">
        <v>717</v>
      </c>
      <c r="AF155" s="59" t="s">
        <v>717</v>
      </c>
      <c r="AG155" s="60" t="s">
        <v>717</v>
      </c>
      <c r="AH155" s="61" t="s">
        <v>717</v>
      </c>
      <c r="AI155" s="64">
        <v>3</v>
      </c>
      <c r="AJ155" s="66"/>
      <c r="AK155" s="22" t="s">
        <v>717</v>
      </c>
      <c r="AL155" s="23"/>
      <c r="AM155" s="23" t="s">
        <v>667</v>
      </c>
    </row>
    <row r="156" spans="1:41" s="3" customFormat="1" ht="14.5" x14ac:dyDescent="0.35">
      <c r="A156" s="24">
        <v>150</v>
      </c>
      <c r="B156" s="11" t="s">
        <v>5</v>
      </c>
      <c r="C156" s="11" t="s">
        <v>49</v>
      </c>
      <c r="D156" s="11">
        <v>119524</v>
      </c>
      <c r="E156" s="11">
        <v>48324</v>
      </c>
      <c r="F156" s="20" t="s">
        <v>560</v>
      </c>
      <c r="G156" s="20" t="s">
        <v>738</v>
      </c>
      <c r="H156" s="6">
        <v>29.806010000000001</v>
      </c>
      <c r="I156" s="6">
        <v>71.752650000000003</v>
      </c>
      <c r="J156" s="12" t="s">
        <v>14</v>
      </c>
      <c r="K156" s="11" t="s">
        <v>14</v>
      </c>
      <c r="L156" s="11" t="s">
        <v>433</v>
      </c>
      <c r="M156" s="11" t="s">
        <v>532</v>
      </c>
      <c r="N156" s="39">
        <f t="shared" si="3"/>
        <v>3</v>
      </c>
      <c r="O156" s="41" t="s">
        <v>601</v>
      </c>
      <c r="P156" s="42">
        <v>0</v>
      </c>
      <c r="Q156" s="43">
        <v>3</v>
      </c>
      <c r="R156" s="44">
        <v>0</v>
      </c>
      <c r="S156" s="46" t="s">
        <v>717</v>
      </c>
      <c r="T156" s="46" t="s">
        <v>717</v>
      </c>
      <c r="U156" s="46" t="s">
        <v>717</v>
      </c>
      <c r="V156" s="46" t="s">
        <v>717</v>
      </c>
      <c r="W156" s="48" t="s">
        <v>717</v>
      </c>
      <c r="X156" s="49" t="s">
        <v>717</v>
      </c>
      <c r="Y156" s="50" t="s">
        <v>717</v>
      </c>
      <c r="Z156" s="51" t="s">
        <v>717</v>
      </c>
      <c r="AA156" s="53" t="s">
        <v>717</v>
      </c>
      <c r="AB156" s="54" t="s">
        <v>717</v>
      </c>
      <c r="AC156" s="55" t="s">
        <v>717</v>
      </c>
      <c r="AD156" s="56" t="s">
        <v>717</v>
      </c>
      <c r="AE156" s="58" t="s">
        <v>717</v>
      </c>
      <c r="AF156" s="59" t="s">
        <v>717</v>
      </c>
      <c r="AG156" s="60" t="s">
        <v>717</v>
      </c>
      <c r="AH156" s="61" t="s">
        <v>717</v>
      </c>
      <c r="AI156" s="64"/>
      <c r="AJ156" s="66"/>
      <c r="AK156" s="22">
        <v>3</v>
      </c>
      <c r="AL156" s="23"/>
      <c r="AM156" s="23"/>
      <c r="AN156" s="123">
        <f>N156-AK156</f>
        <v>0</v>
      </c>
    </row>
    <row r="157" spans="1:41" s="3" customFormat="1" ht="14.5" x14ac:dyDescent="0.35">
      <c r="A157" s="24">
        <v>151</v>
      </c>
      <c r="B157" s="11" t="s">
        <v>5</v>
      </c>
      <c r="C157" s="12" t="s">
        <v>418</v>
      </c>
      <c r="D157" s="11">
        <v>102870</v>
      </c>
      <c r="E157" s="11">
        <v>48325</v>
      </c>
      <c r="F157" s="20" t="s">
        <v>559</v>
      </c>
      <c r="G157" s="20" t="s">
        <v>739</v>
      </c>
      <c r="H157" s="6">
        <v>29.44473</v>
      </c>
      <c r="I157" s="6">
        <v>71.561779999999999</v>
      </c>
      <c r="J157" s="12" t="s">
        <v>20</v>
      </c>
      <c r="K157" s="11" t="s">
        <v>6</v>
      </c>
      <c r="L157" s="11" t="s">
        <v>433</v>
      </c>
      <c r="M157" s="11" t="s">
        <v>224</v>
      </c>
      <c r="N157" s="39">
        <f t="shared" si="3"/>
        <v>2</v>
      </c>
      <c r="O157" s="41" t="s">
        <v>717</v>
      </c>
      <c r="P157" s="42" t="s">
        <v>717</v>
      </c>
      <c r="Q157" s="43" t="s">
        <v>717</v>
      </c>
      <c r="R157" s="44" t="s">
        <v>717</v>
      </c>
      <c r="S157" s="46" t="s">
        <v>717</v>
      </c>
      <c r="T157" s="46" t="s">
        <v>717</v>
      </c>
      <c r="U157" s="46" t="s">
        <v>717</v>
      </c>
      <c r="V157" s="46" t="s">
        <v>717</v>
      </c>
      <c r="W157" s="48" t="s">
        <v>717</v>
      </c>
      <c r="X157" s="49" t="s">
        <v>717</v>
      </c>
      <c r="Y157" s="50" t="s">
        <v>717</v>
      </c>
      <c r="Z157" s="51" t="s">
        <v>717</v>
      </c>
      <c r="AA157" s="53" t="s">
        <v>717</v>
      </c>
      <c r="AB157" s="54" t="s">
        <v>717</v>
      </c>
      <c r="AC157" s="55" t="s">
        <v>717</v>
      </c>
      <c r="AD157" s="56" t="s">
        <v>717</v>
      </c>
      <c r="AE157" s="58" t="s">
        <v>717</v>
      </c>
      <c r="AF157" s="59" t="s">
        <v>717</v>
      </c>
      <c r="AG157" s="60" t="s">
        <v>717</v>
      </c>
      <c r="AH157" s="61" t="s">
        <v>717</v>
      </c>
      <c r="AI157" s="64">
        <v>2</v>
      </c>
      <c r="AJ157" s="66"/>
      <c r="AK157" s="22" t="s">
        <v>717</v>
      </c>
      <c r="AL157" s="23"/>
      <c r="AM157" s="23" t="s">
        <v>631</v>
      </c>
    </row>
    <row r="158" spans="1:41" s="3" customFormat="1" ht="14.5" x14ac:dyDescent="0.35">
      <c r="A158" s="24">
        <v>152</v>
      </c>
      <c r="B158" s="11" t="s">
        <v>5</v>
      </c>
      <c r="C158" s="11" t="s">
        <v>551</v>
      </c>
      <c r="D158" s="11">
        <v>119922</v>
      </c>
      <c r="E158" s="11">
        <v>48326</v>
      </c>
      <c r="F158" s="20" t="s">
        <v>560</v>
      </c>
      <c r="G158" s="20" t="s">
        <v>738</v>
      </c>
      <c r="H158" s="6">
        <v>29.847058000000001</v>
      </c>
      <c r="I158" s="6">
        <v>71.761613999999994</v>
      </c>
      <c r="J158" s="12" t="s">
        <v>14</v>
      </c>
      <c r="K158" s="11" t="s">
        <v>6</v>
      </c>
      <c r="L158" s="11" t="s">
        <v>433</v>
      </c>
      <c r="M158" s="11" t="s">
        <v>552</v>
      </c>
      <c r="N158" s="39">
        <f t="shared" si="3"/>
        <v>3</v>
      </c>
      <c r="O158" s="41" t="s">
        <v>717</v>
      </c>
      <c r="P158" s="42" t="s">
        <v>717</v>
      </c>
      <c r="Q158" s="43" t="s">
        <v>717</v>
      </c>
      <c r="R158" s="44" t="s">
        <v>717</v>
      </c>
      <c r="S158" s="46" t="s">
        <v>607</v>
      </c>
      <c r="T158" s="46">
        <v>0</v>
      </c>
      <c r="U158" s="46">
        <v>2</v>
      </c>
      <c r="V158" s="46">
        <v>0</v>
      </c>
      <c r="W158" s="48" t="s">
        <v>717</v>
      </c>
      <c r="X158" s="49" t="s">
        <v>717</v>
      </c>
      <c r="Y158" s="50" t="s">
        <v>717</v>
      </c>
      <c r="Z158" s="51" t="s">
        <v>717</v>
      </c>
      <c r="AA158" s="53" t="s">
        <v>717</v>
      </c>
      <c r="AB158" s="54" t="s">
        <v>717</v>
      </c>
      <c r="AC158" s="55" t="s">
        <v>717</v>
      </c>
      <c r="AD158" s="56" t="s">
        <v>717</v>
      </c>
      <c r="AE158" s="58" t="s">
        <v>717</v>
      </c>
      <c r="AF158" s="59" t="s">
        <v>717</v>
      </c>
      <c r="AG158" s="60" t="s">
        <v>717</v>
      </c>
      <c r="AH158" s="61" t="s">
        <v>717</v>
      </c>
      <c r="AI158" s="64">
        <v>1</v>
      </c>
      <c r="AJ158" s="66"/>
      <c r="AK158" s="22" t="s">
        <v>717</v>
      </c>
      <c r="AL158" s="23"/>
      <c r="AM158" s="23" t="s">
        <v>680</v>
      </c>
    </row>
    <row r="159" spans="1:41" s="3" customFormat="1" ht="14.5" x14ac:dyDescent="0.35">
      <c r="A159" s="24">
        <v>153</v>
      </c>
      <c r="B159" s="11" t="s">
        <v>5</v>
      </c>
      <c r="C159" s="11" t="s">
        <v>51</v>
      </c>
      <c r="D159" s="11">
        <v>102919</v>
      </c>
      <c r="E159" s="11">
        <v>48327</v>
      </c>
      <c r="F159" s="20" t="s">
        <v>559</v>
      </c>
      <c r="G159" s="20" t="s">
        <v>739</v>
      </c>
      <c r="H159" s="6">
        <v>29.817160000000001</v>
      </c>
      <c r="I159" s="6">
        <v>71.906279999999995</v>
      </c>
      <c r="J159" s="12" t="s">
        <v>14</v>
      </c>
      <c r="K159" s="11" t="s">
        <v>14</v>
      </c>
      <c r="L159" s="11" t="s">
        <v>433</v>
      </c>
      <c r="M159" s="11" t="s">
        <v>185</v>
      </c>
      <c r="N159" s="39">
        <f t="shared" si="3"/>
        <v>0</v>
      </c>
      <c r="O159" s="41" t="s">
        <v>717</v>
      </c>
      <c r="P159" s="42" t="s">
        <v>717</v>
      </c>
      <c r="Q159" s="43" t="s">
        <v>717</v>
      </c>
      <c r="R159" s="44" t="s">
        <v>717</v>
      </c>
      <c r="S159" s="46" t="s">
        <v>717</v>
      </c>
      <c r="T159" s="46" t="s">
        <v>717</v>
      </c>
      <c r="U159" s="46" t="s">
        <v>717</v>
      </c>
      <c r="V159" s="46" t="s">
        <v>717</v>
      </c>
      <c r="W159" s="48" t="s">
        <v>717</v>
      </c>
      <c r="X159" s="49" t="s">
        <v>717</v>
      </c>
      <c r="Y159" s="50" t="s">
        <v>717</v>
      </c>
      <c r="Z159" s="51" t="s">
        <v>717</v>
      </c>
      <c r="AA159" s="53" t="s">
        <v>717</v>
      </c>
      <c r="AB159" s="54" t="s">
        <v>717</v>
      </c>
      <c r="AC159" s="55" t="s">
        <v>717</v>
      </c>
      <c r="AD159" s="56" t="s">
        <v>717</v>
      </c>
      <c r="AE159" s="58" t="s">
        <v>717</v>
      </c>
      <c r="AF159" s="59" t="s">
        <v>717</v>
      </c>
      <c r="AG159" s="60" t="s">
        <v>717</v>
      </c>
      <c r="AH159" s="61" t="s">
        <v>717</v>
      </c>
      <c r="AI159" s="64"/>
      <c r="AJ159" s="66"/>
      <c r="AK159" s="36" t="s">
        <v>717</v>
      </c>
      <c r="AL159" s="37"/>
      <c r="AM159" s="37"/>
    </row>
    <row r="160" spans="1:41" s="3" customFormat="1" ht="14.5" x14ac:dyDescent="0.35">
      <c r="A160" s="24">
        <v>154</v>
      </c>
      <c r="B160" s="11" t="s">
        <v>5</v>
      </c>
      <c r="C160" s="11" t="s">
        <v>41</v>
      </c>
      <c r="D160" s="11">
        <v>102949</v>
      </c>
      <c r="E160" s="11">
        <v>48329</v>
      </c>
      <c r="F160" s="20" t="s">
        <v>560</v>
      </c>
      <c r="G160" s="20" t="s">
        <v>738</v>
      </c>
      <c r="H160" s="6">
        <v>29.898289999999999</v>
      </c>
      <c r="I160" s="6">
        <v>71.776920000000004</v>
      </c>
      <c r="J160" s="12" t="s">
        <v>14</v>
      </c>
      <c r="K160" s="11" t="s">
        <v>14</v>
      </c>
      <c r="L160" s="11" t="s">
        <v>433</v>
      </c>
      <c r="M160" s="11" t="s">
        <v>176</v>
      </c>
      <c r="N160" s="39">
        <f t="shared" si="3"/>
        <v>5</v>
      </c>
      <c r="O160" s="41" t="s">
        <v>717</v>
      </c>
      <c r="P160" s="42" t="s">
        <v>717</v>
      </c>
      <c r="Q160" s="43" t="s">
        <v>717</v>
      </c>
      <c r="R160" s="44" t="s">
        <v>717</v>
      </c>
      <c r="S160" s="46" t="s">
        <v>608</v>
      </c>
      <c r="T160" s="46">
        <v>2</v>
      </c>
      <c r="U160" s="46">
        <v>3</v>
      </c>
      <c r="V160" s="46">
        <v>0</v>
      </c>
      <c r="W160" s="48" t="s">
        <v>717</v>
      </c>
      <c r="X160" s="49" t="s">
        <v>717</v>
      </c>
      <c r="Y160" s="50" t="s">
        <v>717</v>
      </c>
      <c r="Z160" s="51" t="s">
        <v>717</v>
      </c>
      <c r="AA160" s="53" t="s">
        <v>717</v>
      </c>
      <c r="AB160" s="54" t="s">
        <v>717</v>
      </c>
      <c r="AC160" s="55" t="s">
        <v>717</v>
      </c>
      <c r="AD160" s="56" t="s">
        <v>717</v>
      </c>
      <c r="AE160" s="58" t="s">
        <v>717</v>
      </c>
      <c r="AF160" s="59" t="s">
        <v>717</v>
      </c>
      <c r="AG160" s="60" t="s">
        <v>717</v>
      </c>
      <c r="AH160" s="61" t="s">
        <v>717</v>
      </c>
      <c r="AI160" s="64"/>
      <c r="AJ160" s="66"/>
      <c r="AK160" s="22" t="s">
        <v>717</v>
      </c>
      <c r="AL160" s="23"/>
      <c r="AM160" s="23"/>
    </row>
    <row r="161" spans="1:41" s="3" customFormat="1" ht="14.5" x14ac:dyDescent="0.35">
      <c r="A161" s="24">
        <v>155</v>
      </c>
      <c r="B161" s="11" t="s">
        <v>5</v>
      </c>
      <c r="C161" s="12" t="s">
        <v>56</v>
      </c>
      <c r="D161" s="11">
        <v>102996</v>
      </c>
      <c r="E161" s="11">
        <v>48333</v>
      </c>
      <c r="F161" s="20" t="s">
        <v>559</v>
      </c>
      <c r="G161" s="20" t="s">
        <v>739</v>
      </c>
      <c r="H161" s="6">
        <v>29.804919999999999</v>
      </c>
      <c r="I161" s="6">
        <v>71.729230000000001</v>
      </c>
      <c r="J161" s="12" t="s">
        <v>14</v>
      </c>
      <c r="K161" s="11" t="s">
        <v>14</v>
      </c>
      <c r="L161" s="11" t="s">
        <v>433</v>
      </c>
      <c r="M161" s="11" t="s">
        <v>193</v>
      </c>
      <c r="N161" s="39">
        <f t="shared" si="3"/>
        <v>3</v>
      </c>
      <c r="O161" s="41" t="s">
        <v>606</v>
      </c>
      <c r="P161" s="42">
        <v>0</v>
      </c>
      <c r="Q161" s="43">
        <v>2</v>
      </c>
      <c r="R161" s="44">
        <v>0</v>
      </c>
      <c r="S161" s="46" t="s">
        <v>717</v>
      </c>
      <c r="T161" s="46" t="s">
        <v>717</v>
      </c>
      <c r="U161" s="46" t="s">
        <v>717</v>
      </c>
      <c r="V161" s="46" t="s">
        <v>717</v>
      </c>
      <c r="W161" s="48" t="s">
        <v>717</v>
      </c>
      <c r="X161" s="49" t="s">
        <v>717</v>
      </c>
      <c r="Y161" s="50" t="s">
        <v>717</v>
      </c>
      <c r="Z161" s="51" t="s">
        <v>717</v>
      </c>
      <c r="AA161" s="53" t="s">
        <v>717</v>
      </c>
      <c r="AB161" s="54" t="s">
        <v>717</v>
      </c>
      <c r="AC161" s="55" t="s">
        <v>717</v>
      </c>
      <c r="AD161" s="56" t="s">
        <v>717</v>
      </c>
      <c r="AE161" s="58" t="s">
        <v>717</v>
      </c>
      <c r="AF161" s="59" t="s">
        <v>717</v>
      </c>
      <c r="AG161" s="60" t="s">
        <v>717</v>
      </c>
      <c r="AH161" s="61" t="s">
        <v>717</v>
      </c>
      <c r="AI161" s="64">
        <v>1</v>
      </c>
      <c r="AJ161" s="66"/>
      <c r="AK161" s="36">
        <v>2</v>
      </c>
      <c r="AL161" s="23"/>
      <c r="AM161" s="23" t="s">
        <v>670</v>
      </c>
      <c r="AN161" s="123">
        <f>N161-AK161</f>
        <v>1</v>
      </c>
      <c r="AO161" s="31">
        <f>SUM(P161:R161)-AK161</f>
        <v>0</v>
      </c>
    </row>
    <row r="162" spans="1:41" s="3" customFormat="1" ht="14.5" x14ac:dyDescent="0.35">
      <c r="A162" s="24">
        <v>156</v>
      </c>
      <c r="B162" s="11" t="s">
        <v>5</v>
      </c>
      <c r="C162" s="10" t="s">
        <v>15</v>
      </c>
      <c r="D162" s="10">
        <v>103030</v>
      </c>
      <c r="E162" s="11">
        <v>48334</v>
      </c>
      <c r="F162" s="20" t="s">
        <v>559</v>
      </c>
      <c r="G162" s="20" t="s">
        <v>739</v>
      </c>
      <c r="H162" s="6">
        <v>29.707239999999999</v>
      </c>
      <c r="I162" s="6">
        <v>71.491960000000006</v>
      </c>
      <c r="J162" s="12" t="s">
        <v>14</v>
      </c>
      <c r="K162" s="11" t="s">
        <v>6</v>
      </c>
      <c r="L162" s="11" t="s">
        <v>433</v>
      </c>
      <c r="M162" s="11" t="s">
        <v>16</v>
      </c>
      <c r="N162" s="39">
        <f t="shared" si="3"/>
        <v>2</v>
      </c>
      <c r="O162" s="41" t="s">
        <v>717</v>
      </c>
      <c r="P162" s="42" t="s">
        <v>717</v>
      </c>
      <c r="Q162" s="43" t="s">
        <v>717</v>
      </c>
      <c r="R162" s="44" t="s">
        <v>717</v>
      </c>
      <c r="S162" s="46" t="s">
        <v>717</v>
      </c>
      <c r="T162" s="46" t="s">
        <v>717</v>
      </c>
      <c r="U162" s="46" t="s">
        <v>717</v>
      </c>
      <c r="V162" s="46" t="s">
        <v>717</v>
      </c>
      <c r="W162" s="48" t="s">
        <v>717</v>
      </c>
      <c r="X162" s="49" t="s">
        <v>717</v>
      </c>
      <c r="Y162" s="50" t="s">
        <v>717</v>
      </c>
      <c r="Z162" s="51" t="s">
        <v>717</v>
      </c>
      <c r="AA162" s="53" t="s">
        <v>717</v>
      </c>
      <c r="AB162" s="54" t="s">
        <v>717</v>
      </c>
      <c r="AC162" s="55" t="s">
        <v>717</v>
      </c>
      <c r="AD162" s="56" t="s">
        <v>717</v>
      </c>
      <c r="AE162" s="58" t="s">
        <v>717</v>
      </c>
      <c r="AF162" s="59" t="s">
        <v>717</v>
      </c>
      <c r="AG162" s="60" t="s">
        <v>717</v>
      </c>
      <c r="AH162" s="61" t="s">
        <v>717</v>
      </c>
      <c r="AI162" s="64">
        <v>2</v>
      </c>
      <c r="AJ162" s="66"/>
      <c r="AK162" s="22" t="s">
        <v>717</v>
      </c>
      <c r="AL162" s="23"/>
      <c r="AM162" s="23" t="s">
        <v>690</v>
      </c>
    </row>
    <row r="163" spans="1:41" s="3" customFormat="1" ht="14.5" x14ac:dyDescent="0.35">
      <c r="A163" s="24">
        <v>157</v>
      </c>
      <c r="B163" s="11" t="s">
        <v>5</v>
      </c>
      <c r="C163" s="11" t="s">
        <v>79</v>
      </c>
      <c r="D163" s="11">
        <v>103068</v>
      </c>
      <c r="E163" s="11">
        <v>48336</v>
      </c>
      <c r="F163" s="20" t="s">
        <v>559</v>
      </c>
      <c r="G163" s="20" t="s">
        <v>739</v>
      </c>
      <c r="H163" s="6">
        <v>29.732479999999999</v>
      </c>
      <c r="I163" s="6">
        <v>71.572640000000007</v>
      </c>
      <c r="J163" s="12" t="s">
        <v>14</v>
      </c>
      <c r="K163" s="11" t="s">
        <v>14</v>
      </c>
      <c r="L163" s="11" t="s">
        <v>433</v>
      </c>
      <c r="M163" s="11" t="s">
        <v>219</v>
      </c>
      <c r="N163" s="39">
        <f t="shared" si="3"/>
        <v>4</v>
      </c>
      <c r="O163" s="41" t="s">
        <v>717</v>
      </c>
      <c r="P163" s="42" t="s">
        <v>717</v>
      </c>
      <c r="Q163" s="43" t="s">
        <v>717</v>
      </c>
      <c r="R163" s="44" t="s">
        <v>717</v>
      </c>
      <c r="S163" s="46" t="s">
        <v>717</v>
      </c>
      <c r="T163" s="46" t="s">
        <v>717</v>
      </c>
      <c r="U163" s="46" t="s">
        <v>717</v>
      </c>
      <c r="V163" s="46" t="s">
        <v>717</v>
      </c>
      <c r="W163" s="48" t="s">
        <v>717</v>
      </c>
      <c r="X163" s="49" t="s">
        <v>717</v>
      </c>
      <c r="Y163" s="50" t="s">
        <v>717</v>
      </c>
      <c r="Z163" s="51" t="s">
        <v>717</v>
      </c>
      <c r="AA163" s="53" t="s">
        <v>717</v>
      </c>
      <c r="AB163" s="54" t="s">
        <v>717</v>
      </c>
      <c r="AC163" s="55" t="s">
        <v>717</v>
      </c>
      <c r="AD163" s="56" t="s">
        <v>717</v>
      </c>
      <c r="AE163" s="58" t="s">
        <v>717</v>
      </c>
      <c r="AF163" s="59" t="s">
        <v>717</v>
      </c>
      <c r="AG163" s="60" t="s">
        <v>717</v>
      </c>
      <c r="AH163" s="61" t="s">
        <v>717</v>
      </c>
      <c r="AI163" s="64">
        <v>4</v>
      </c>
      <c r="AJ163" s="66"/>
      <c r="AK163" s="22" t="s">
        <v>717</v>
      </c>
      <c r="AL163" s="23"/>
      <c r="AM163" s="23" t="s">
        <v>669</v>
      </c>
    </row>
    <row r="164" spans="1:41" s="3" customFormat="1" ht="14.5" x14ac:dyDescent="0.35">
      <c r="A164" s="24">
        <v>158</v>
      </c>
      <c r="B164" s="11" t="s">
        <v>5</v>
      </c>
      <c r="C164" s="11" t="s">
        <v>529</v>
      </c>
      <c r="D164" s="11">
        <v>119507</v>
      </c>
      <c r="E164" s="11">
        <v>48337</v>
      </c>
      <c r="F164" s="20" t="s">
        <v>559</v>
      </c>
      <c r="G164" s="20" t="s">
        <v>739</v>
      </c>
      <c r="H164" s="6">
        <v>29.785440000000001</v>
      </c>
      <c r="I164" s="6">
        <v>71.556839999999994</v>
      </c>
      <c r="J164" s="12" t="s">
        <v>14</v>
      </c>
      <c r="K164" s="11" t="s">
        <v>14</v>
      </c>
      <c r="L164" s="11" t="s">
        <v>433</v>
      </c>
      <c r="M164" s="11" t="s">
        <v>530</v>
      </c>
      <c r="N164" s="39">
        <f t="shared" si="3"/>
        <v>3</v>
      </c>
      <c r="O164" s="41" t="s">
        <v>717</v>
      </c>
      <c r="P164" s="42" t="s">
        <v>717</v>
      </c>
      <c r="Q164" s="43" t="s">
        <v>717</v>
      </c>
      <c r="R164" s="44" t="s">
        <v>717</v>
      </c>
      <c r="S164" s="46" t="s">
        <v>717</v>
      </c>
      <c r="T164" s="46" t="s">
        <v>717</v>
      </c>
      <c r="U164" s="46" t="s">
        <v>717</v>
      </c>
      <c r="V164" s="46" t="s">
        <v>717</v>
      </c>
      <c r="W164" s="48" t="s">
        <v>717</v>
      </c>
      <c r="X164" s="49" t="s">
        <v>717</v>
      </c>
      <c r="Y164" s="50" t="s">
        <v>717</v>
      </c>
      <c r="Z164" s="51" t="s">
        <v>717</v>
      </c>
      <c r="AA164" s="53" t="s">
        <v>717</v>
      </c>
      <c r="AB164" s="54" t="s">
        <v>717</v>
      </c>
      <c r="AC164" s="55" t="s">
        <v>717</v>
      </c>
      <c r="AD164" s="56" t="s">
        <v>717</v>
      </c>
      <c r="AE164" s="58" t="s">
        <v>717</v>
      </c>
      <c r="AF164" s="59" t="s">
        <v>717</v>
      </c>
      <c r="AG164" s="60" t="s">
        <v>717</v>
      </c>
      <c r="AH164" s="61" t="s">
        <v>717</v>
      </c>
      <c r="AI164" s="64">
        <v>3</v>
      </c>
      <c r="AJ164" s="66"/>
      <c r="AK164" s="22" t="s">
        <v>717</v>
      </c>
      <c r="AL164" s="23"/>
      <c r="AM164" s="23" t="s">
        <v>667</v>
      </c>
    </row>
    <row r="165" spans="1:41" s="3" customFormat="1" ht="14.5" x14ac:dyDescent="0.35">
      <c r="A165" s="24">
        <v>159</v>
      </c>
      <c r="B165" s="11" t="s">
        <v>5</v>
      </c>
      <c r="C165" s="12" t="s">
        <v>142</v>
      </c>
      <c r="D165" s="11">
        <v>114262</v>
      </c>
      <c r="E165" s="11">
        <v>48338</v>
      </c>
      <c r="F165" s="20" t="s">
        <v>559</v>
      </c>
      <c r="G165" s="20" t="s">
        <v>738</v>
      </c>
      <c r="H165" s="6">
        <v>29.632190000000001</v>
      </c>
      <c r="I165" s="6">
        <v>71.601730000000003</v>
      </c>
      <c r="J165" s="12" t="s">
        <v>14</v>
      </c>
      <c r="K165" s="11" t="s">
        <v>14</v>
      </c>
      <c r="L165" s="11" t="s">
        <v>433</v>
      </c>
      <c r="M165" s="11" t="s">
        <v>209</v>
      </c>
      <c r="N165" s="39">
        <f t="shared" si="3"/>
        <v>4</v>
      </c>
      <c r="O165" s="41" t="s">
        <v>717</v>
      </c>
      <c r="P165" s="42" t="s">
        <v>717</v>
      </c>
      <c r="Q165" s="43" t="s">
        <v>717</v>
      </c>
      <c r="R165" s="44" t="s">
        <v>717</v>
      </c>
      <c r="S165" s="46" t="s">
        <v>717</v>
      </c>
      <c r="T165" s="46" t="s">
        <v>717</v>
      </c>
      <c r="U165" s="46" t="s">
        <v>717</v>
      </c>
      <c r="V165" s="46" t="s">
        <v>717</v>
      </c>
      <c r="W165" s="48" t="s">
        <v>717</v>
      </c>
      <c r="X165" s="49" t="s">
        <v>717</v>
      </c>
      <c r="Y165" s="50" t="s">
        <v>717</v>
      </c>
      <c r="Z165" s="51" t="s">
        <v>717</v>
      </c>
      <c r="AA165" s="53" t="s">
        <v>717</v>
      </c>
      <c r="AB165" s="54" t="s">
        <v>717</v>
      </c>
      <c r="AC165" s="55" t="s">
        <v>717</v>
      </c>
      <c r="AD165" s="56" t="s">
        <v>717</v>
      </c>
      <c r="AE165" s="58" t="s">
        <v>717</v>
      </c>
      <c r="AF165" s="59" t="s">
        <v>717</v>
      </c>
      <c r="AG165" s="60" t="s">
        <v>717</v>
      </c>
      <c r="AH165" s="61" t="s">
        <v>717</v>
      </c>
      <c r="AI165" s="68">
        <v>4</v>
      </c>
      <c r="AJ165" s="66"/>
      <c r="AK165" s="24" t="s">
        <v>717</v>
      </c>
      <c r="AL165" s="24"/>
      <c r="AM165" s="24" t="s">
        <v>641</v>
      </c>
    </row>
    <row r="166" spans="1:41" s="3" customFormat="1" ht="14.5" x14ac:dyDescent="0.35">
      <c r="A166" s="24">
        <v>160</v>
      </c>
      <c r="B166" s="11" t="s">
        <v>5</v>
      </c>
      <c r="C166" s="12" t="s">
        <v>63</v>
      </c>
      <c r="D166" s="11">
        <v>103175</v>
      </c>
      <c r="E166" s="11">
        <v>48341</v>
      </c>
      <c r="F166" s="20" t="s">
        <v>559</v>
      </c>
      <c r="G166" s="20" t="s">
        <v>739</v>
      </c>
      <c r="H166" s="6">
        <v>29.544740000000001</v>
      </c>
      <c r="I166" s="6">
        <v>71.649619999999999</v>
      </c>
      <c r="J166" s="12" t="s">
        <v>14</v>
      </c>
      <c r="K166" s="11" t="s">
        <v>14</v>
      </c>
      <c r="L166" s="11" t="s">
        <v>433</v>
      </c>
      <c r="M166" s="11" t="s">
        <v>196</v>
      </c>
      <c r="N166" s="39">
        <f t="shared" si="3"/>
        <v>5</v>
      </c>
      <c r="O166" s="41" t="s">
        <v>717</v>
      </c>
      <c r="P166" s="42" t="s">
        <v>717</v>
      </c>
      <c r="Q166" s="43" t="s">
        <v>717</v>
      </c>
      <c r="R166" s="44" t="s">
        <v>717</v>
      </c>
      <c r="S166" s="46" t="s">
        <v>717</v>
      </c>
      <c r="T166" s="46" t="s">
        <v>717</v>
      </c>
      <c r="U166" s="46" t="s">
        <v>717</v>
      </c>
      <c r="V166" s="46" t="s">
        <v>717</v>
      </c>
      <c r="W166" s="48" t="s">
        <v>717</v>
      </c>
      <c r="X166" s="49" t="s">
        <v>717</v>
      </c>
      <c r="Y166" s="50" t="s">
        <v>717</v>
      </c>
      <c r="Z166" s="51" t="s">
        <v>717</v>
      </c>
      <c r="AA166" s="53" t="s">
        <v>717</v>
      </c>
      <c r="AB166" s="54" t="s">
        <v>717</v>
      </c>
      <c r="AC166" s="55" t="s">
        <v>717</v>
      </c>
      <c r="AD166" s="56" t="s">
        <v>717</v>
      </c>
      <c r="AE166" s="58" t="s">
        <v>717</v>
      </c>
      <c r="AF166" s="59" t="s">
        <v>717</v>
      </c>
      <c r="AG166" s="60" t="s">
        <v>717</v>
      </c>
      <c r="AH166" s="61" t="s">
        <v>717</v>
      </c>
      <c r="AI166" s="64">
        <v>5</v>
      </c>
      <c r="AJ166" s="66"/>
      <c r="AK166" s="22" t="s">
        <v>717</v>
      </c>
      <c r="AL166" s="23"/>
      <c r="AM166" s="23" t="s">
        <v>642</v>
      </c>
    </row>
    <row r="167" spans="1:41" s="3" customFormat="1" ht="14.5" x14ac:dyDescent="0.35">
      <c r="A167" s="24">
        <v>161</v>
      </c>
      <c r="B167" s="11" t="s">
        <v>5</v>
      </c>
      <c r="C167" s="11" t="s">
        <v>62</v>
      </c>
      <c r="D167" s="11">
        <v>103208</v>
      </c>
      <c r="E167" s="11">
        <v>48342</v>
      </c>
      <c r="F167" s="20" t="s">
        <v>559</v>
      </c>
      <c r="G167" s="20" t="s">
        <v>739</v>
      </c>
      <c r="H167" s="6">
        <v>29.583919999999999</v>
      </c>
      <c r="I167" s="6">
        <v>71.765219999999999</v>
      </c>
      <c r="J167" s="12" t="s">
        <v>14</v>
      </c>
      <c r="K167" s="11" t="s">
        <v>14</v>
      </c>
      <c r="L167" s="11" t="s">
        <v>433</v>
      </c>
      <c r="M167" s="11" t="s">
        <v>195</v>
      </c>
      <c r="N167" s="39">
        <f t="shared" si="3"/>
        <v>3</v>
      </c>
      <c r="O167" s="41" t="s">
        <v>717</v>
      </c>
      <c r="P167" s="42" t="s">
        <v>717</v>
      </c>
      <c r="Q167" s="43" t="s">
        <v>717</v>
      </c>
      <c r="R167" s="44" t="s">
        <v>717</v>
      </c>
      <c r="S167" s="46" t="s">
        <v>717</v>
      </c>
      <c r="T167" s="46" t="s">
        <v>717</v>
      </c>
      <c r="U167" s="46" t="s">
        <v>717</v>
      </c>
      <c r="V167" s="46" t="s">
        <v>717</v>
      </c>
      <c r="W167" s="48" t="s">
        <v>717</v>
      </c>
      <c r="X167" s="49" t="s">
        <v>717</v>
      </c>
      <c r="Y167" s="50" t="s">
        <v>717</v>
      </c>
      <c r="Z167" s="51" t="s">
        <v>717</v>
      </c>
      <c r="AA167" s="53" t="s">
        <v>717</v>
      </c>
      <c r="AB167" s="54" t="s">
        <v>717</v>
      </c>
      <c r="AC167" s="55" t="s">
        <v>717</v>
      </c>
      <c r="AD167" s="56" t="s">
        <v>717</v>
      </c>
      <c r="AE167" s="58" t="s">
        <v>717</v>
      </c>
      <c r="AF167" s="59" t="s">
        <v>717</v>
      </c>
      <c r="AG167" s="60" t="s">
        <v>717</v>
      </c>
      <c r="AH167" s="61" t="s">
        <v>717</v>
      </c>
      <c r="AI167" s="64">
        <v>3</v>
      </c>
      <c r="AJ167" s="66"/>
      <c r="AK167" s="22" t="s">
        <v>717</v>
      </c>
      <c r="AL167" s="23"/>
      <c r="AM167" s="23" t="s">
        <v>629</v>
      </c>
    </row>
    <row r="168" spans="1:41" s="3" customFormat="1" ht="14.5" x14ac:dyDescent="0.35">
      <c r="A168" s="24">
        <v>162</v>
      </c>
      <c r="B168" s="11" t="s">
        <v>5</v>
      </c>
      <c r="C168" s="11" t="s">
        <v>373</v>
      </c>
      <c r="D168" s="11">
        <v>116082</v>
      </c>
      <c r="E168" s="11">
        <v>48344</v>
      </c>
      <c r="F168" s="20" t="s">
        <v>559</v>
      </c>
      <c r="G168" s="20" t="s">
        <v>739</v>
      </c>
      <c r="H168" s="6">
        <v>29.832709999999999</v>
      </c>
      <c r="I168" s="6">
        <v>71.756590000000003</v>
      </c>
      <c r="J168" s="12" t="s">
        <v>14</v>
      </c>
      <c r="K168" s="11" t="s">
        <v>14</v>
      </c>
      <c r="L168" s="11" t="s">
        <v>433</v>
      </c>
      <c r="M168" s="11" t="s">
        <v>374</v>
      </c>
      <c r="N168" s="39">
        <f t="shared" si="3"/>
        <v>3</v>
      </c>
      <c r="O168" s="41" t="s">
        <v>717</v>
      </c>
      <c r="P168" s="42" t="s">
        <v>717</v>
      </c>
      <c r="Q168" s="43" t="s">
        <v>717</v>
      </c>
      <c r="R168" s="44" t="s">
        <v>717</v>
      </c>
      <c r="S168" s="46" t="s">
        <v>717</v>
      </c>
      <c r="T168" s="46" t="s">
        <v>717</v>
      </c>
      <c r="U168" s="46" t="s">
        <v>717</v>
      </c>
      <c r="V168" s="46" t="s">
        <v>717</v>
      </c>
      <c r="W168" s="48" t="s">
        <v>717</v>
      </c>
      <c r="X168" s="49" t="s">
        <v>717</v>
      </c>
      <c r="Y168" s="50" t="s">
        <v>717</v>
      </c>
      <c r="Z168" s="51" t="s">
        <v>717</v>
      </c>
      <c r="AA168" s="53" t="s">
        <v>717</v>
      </c>
      <c r="AB168" s="54" t="s">
        <v>717</v>
      </c>
      <c r="AC168" s="55" t="s">
        <v>717</v>
      </c>
      <c r="AD168" s="56" t="s">
        <v>717</v>
      </c>
      <c r="AE168" s="58" t="s">
        <v>717</v>
      </c>
      <c r="AF168" s="59" t="s">
        <v>717</v>
      </c>
      <c r="AG168" s="60" t="s">
        <v>717</v>
      </c>
      <c r="AH168" s="61" t="s">
        <v>717</v>
      </c>
      <c r="AI168" s="64">
        <v>3</v>
      </c>
      <c r="AJ168" s="66"/>
      <c r="AK168" s="22" t="s">
        <v>717</v>
      </c>
      <c r="AL168" s="23"/>
      <c r="AM168" s="23" t="s">
        <v>660</v>
      </c>
    </row>
    <row r="169" spans="1:41" s="3" customFormat="1" ht="14.5" x14ac:dyDescent="0.35">
      <c r="A169" s="24">
        <v>163</v>
      </c>
      <c r="B169" s="11" t="s">
        <v>5</v>
      </c>
      <c r="C169" s="11" t="s">
        <v>53</v>
      </c>
      <c r="D169" s="11">
        <v>116063</v>
      </c>
      <c r="E169" s="11">
        <v>48345</v>
      </c>
      <c r="F169" s="20" t="s">
        <v>559</v>
      </c>
      <c r="G169" s="20" t="s">
        <v>739</v>
      </c>
      <c r="H169" s="6">
        <v>29.846129999999999</v>
      </c>
      <c r="I169" s="6">
        <v>71.712950000000006</v>
      </c>
      <c r="J169" s="12" t="s">
        <v>14</v>
      </c>
      <c r="K169" s="11" t="s">
        <v>14</v>
      </c>
      <c r="L169" s="11" t="s">
        <v>433</v>
      </c>
      <c r="M169" s="11" t="s">
        <v>188</v>
      </c>
      <c r="N169" s="39">
        <f t="shared" si="3"/>
        <v>3</v>
      </c>
      <c r="O169" s="41" t="s">
        <v>717</v>
      </c>
      <c r="P169" s="42" t="s">
        <v>717</v>
      </c>
      <c r="Q169" s="43" t="s">
        <v>717</v>
      </c>
      <c r="R169" s="44" t="s">
        <v>717</v>
      </c>
      <c r="S169" s="46" t="s">
        <v>717</v>
      </c>
      <c r="T169" s="46" t="s">
        <v>717</v>
      </c>
      <c r="U169" s="46" t="s">
        <v>717</v>
      </c>
      <c r="V169" s="46" t="s">
        <v>717</v>
      </c>
      <c r="W169" s="48" t="s">
        <v>717</v>
      </c>
      <c r="X169" s="49" t="s">
        <v>717</v>
      </c>
      <c r="Y169" s="50" t="s">
        <v>717</v>
      </c>
      <c r="Z169" s="51" t="s">
        <v>717</v>
      </c>
      <c r="AA169" s="53" t="s">
        <v>717</v>
      </c>
      <c r="AB169" s="54" t="s">
        <v>717</v>
      </c>
      <c r="AC169" s="55" t="s">
        <v>717</v>
      </c>
      <c r="AD169" s="56" t="s">
        <v>717</v>
      </c>
      <c r="AE169" s="58" t="s">
        <v>717</v>
      </c>
      <c r="AF169" s="59" t="s">
        <v>717</v>
      </c>
      <c r="AG169" s="60" t="s">
        <v>717</v>
      </c>
      <c r="AH169" s="61" t="s">
        <v>717</v>
      </c>
      <c r="AI169" s="64">
        <v>3</v>
      </c>
      <c r="AJ169" s="66"/>
      <c r="AK169" s="22" t="s">
        <v>717</v>
      </c>
      <c r="AL169" s="23"/>
      <c r="AM169" s="23" t="s">
        <v>666</v>
      </c>
    </row>
    <row r="170" spans="1:41" s="3" customFormat="1" ht="14.5" x14ac:dyDescent="0.35">
      <c r="A170" s="24">
        <v>164</v>
      </c>
      <c r="B170" s="11" t="s">
        <v>5</v>
      </c>
      <c r="C170" s="11" t="s">
        <v>358</v>
      </c>
      <c r="D170" s="11">
        <v>113801</v>
      </c>
      <c r="E170" s="11">
        <v>48346</v>
      </c>
      <c r="F170" s="20" t="s">
        <v>559</v>
      </c>
      <c r="G170" s="20" t="s">
        <v>739</v>
      </c>
      <c r="H170" s="6">
        <v>29.804179999999999</v>
      </c>
      <c r="I170" s="6">
        <v>71.747569999999996</v>
      </c>
      <c r="J170" s="12" t="s">
        <v>14</v>
      </c>
      <c r="K170" s="11" t="s">
        <v>14</v>
      </c>
      <c r="L170" s="11" t="s">
        <v>433</v>
      </c>
      <c r="M170" s="11" t="s">
        <v>191</v>
      </c>
      <c r="N170" s="39">
        <f t="shared" si="3"/>
        <v>4</v>
      </c>
      <c r="O170" s="41" t="s">
        <v>606</v>
      </c>
      <c r="P170" s="42">
        <v>0</v>
      </c>
      <c r="Q170" s="43">
        <v>2</v>
      </c>
      <c r="R170" s="44">
        <v>0</v>
      </c>
      <c r="S170" s="46" t="s">
        <v>717</v>
      </c>
      <c r="T170" s="46" t="s">
        <v>717</v>
      </c>
      <c r="U170" s="46" t="s">
        <v>717</v>
      </c>
      <c r="V170" s="46" t="s">
        <v>717</v>
      </c>
      <c r="W170" s="48" t="s">
        <v>717</v>
      </c>
      <c r="X170" s="49" t="s">
        <v>717</v>
      </c>
      <c r="Y170" s="50" t="s">
        <v>717</v>
      </c>
      <c r="Z170" s="51" t="s">
        <v>717</v>
      </c>
      <c r="AA170" s="53" t="s">
        <v>717</v>
      </c>
      <c r="AB170" s="54" t="s">
        <v>717</v>
      </c>
      <c r="AC170" s="55" t="s">
        <v>717</v>
      </c>
      <c r="AD170" s="56" t="s">
        <v>717</v>
      </c>
      <c r="AE170" s="58" t="s">
        <v>717</v>
      </c>
      <c r="AF170" s="59" t="s">
        <v>717</v>
      </c>
      <c r="AG170" s="60" t="s">
        <v>717</v>
      </c>
      <c r="AH170" s="61" t="s">
        <v>717</v>
      </c>
      <c r="AI170" s="64">
        <v>2</v>
      </c>
      <c r="AJ170" s="66"/>
      <c r="AK170" s="36">
        <v>2</v>
      </c>
      <c r="AL170" s="23"/>
      <c r="AM170" s="23" t="s">
        <v>663</v>
      </c>
      <c r="AN170" s="123">
        <f>N170-AK170</f>
        <v>2</v>
      </c>
      <c r="AO170" s="31">
        <f>SUM(P170:R170)-AK170</f>
        <v>0</v>
      </c>
    </row>
    <row r="171" spans="1:41" s="3" customFormat="1" ht="14.5" x14ac:dyDescent="0.35">
      <c r="A171" s="24">
        <v>165</v>
      </c>
      <c r="B171" s="11" t="s">
        <v>5</v>
      </c>
      <c r="C171" s="11" t="s">
        <v>357</v>
      </c>
      <c r="D171" s="11">
        <v>103746</v>
      </c>
      <c r="E171" s="11">
        <v>48347</v>
      </c>
      <c r="F171" s="20" t="s">
        <v>559</v>
      </c>
      <c r="G171" s="20" t="s">
        <v>739</v>
      </c>
      <c r="H171" s="6">
        <v>29.684429000000002</v>
      </c>
      <c r="I171" s="6">
        <v>71.586617000000004</v>
      </c>
      <c r="J171" s="12" t="s">
        <v>21</v>
      </c>
      <c r="K171" s="11" t="s">
        <v>414</v>
      </c>
      <c r="L171" s="11" t="s">
        <v>433</v>
      </c>
      <c r="M171" s="11" t="s">
        <v>207</v>
      </c>
      <c r="N171" s="39">
        <f t="shared" si="3"/>
        <v>3</v>
      </c>
      <c r="O171" s="41" t="s">
        <v>717</v>
      </c>
      <c r="P171" s="42" t="s">
        <v>717</v>
      </c>
      <c r="Q171" s="43" t="s">
        <v>717</v>
      </c>
      <c r="R171" s="44" t="s">
        <v>717</v>
      </c>
      <c r="S171" s="46" t="s">
        <v>717</v>
      </c>
      <c r="T171" s="46" t="s">
        <v>717</v>
      </c>
      <c r="U171" s="46" t="s">
        <v>717</v>
      </c>
      <c r="V171" s="46" t="s">
        <v>717</v>
      </c>
      <c r="W171" s="48" t="s">
        <v>717</v>
      </c>
      <c r="X171" s="49" t="s">
        <v>717</v>
      </c>
      <c r="Y171" s="50" t="s">
        <v>717</v>
      </c>
      <c r="Z171" s="51" t="s">
        <v>717</v>
      </c>
      <c r="AA171" s="53" t="s">
        <v>717</v>
      </c>
      <c r="AB171" s="54" t="s">
        <v>717</v>
      </c>
      <c r="AC171" s="55" t="s">
        <v>717</v>
      </c>
      <c r="AD171" s="56" t="s">
        <v>717</v>
      </c>
      <c r="AE171" s="58" t="s">
        <v>717</v>
      </c>
      <c r="AF171" s="59" t="s">
        <v>717</v>
      </c>
      <c r="AG171" s="60" t="s">
        <v>717</v>
      </c>
      <c r="AH171" s="61" t="s">
        <v>717</v>
      </c>
      <c r="AI171" s="64">
        <v>3</v>
      </c>
      <c r="AJ171" s="66"/>
      <c r="AK171" s="22" t="s">
        <v>717</v>
      </c>
      <c r="AL171" s="23"/>
      <c r="AM171" s="23" t="s">
        <v>645</v>
      </c>
    </row>
    <row r="172" spans="1:41" s="3" customFormat="1" ht="14.5" x14ac:dyDescent="0.35">
      <c r="A172" s="24">
        <v>166</v>
      </c>
      <c r="B172" s="11" t="s">
        <v>5</v>
      </c>
      <c r="C172" s="11" t="s">
        <v>55</v>
      </c>
      <c r="D172" s="11">
        <v>103762</v>
      </c>
      <c r="E172" s="11">
        <v>48348</v>
      </c>
      <c r="F172" s="20" t="s">
        <v>559</v>
      </c>
      <c r="G172" s="20" t="s">
        <v>739</v>
      </c>
      <c r="H172" s="6">
        <v>29.79439</v>
      </c>
      <c r="I172" s="6">
        <v>71.749870000000001</v>
      </c>
      <c r="J172" s="12" t="s">
        <v>14</v>
      </c>
      <c r="K172" s="11" t="s">
        <v>14</v>
      </c>
      <c r="L172" s="11" t="s">
        <v>433</v>
      </c>
      <c r="M172" s="11" t="s">
        <v>192</v>
      </c>
      <c r="N172" s="39">
        <f t="shared" si="3"/>
        <v>3</v>
      </c>
      <c r="O172" s="41" t="s">
        <v>717</v>
      </c>
      <c r="P172" s="42" t="s">
        <v>717</v>
      </c>
      <c r="Q172" s="43" t="s">
        <v>717</v>
      </c>
      <c r="R172" s="44" t="s">
        <v>717</v>
      </c>
      <c r="S172" s="46" t="s">
        <v>717</v>
      </c>
      <c r="T172" s="46" t="s">
        <v>717</v>
      </c>
      <c r="U172" s="46" t="s">
        <v>717</v>
      </c>
      <c r="V172" s="46" t="s">
        <v>717</v>
      </c>
      <c r="W172" s="48" t="s">
        <v>717</v>
      </c>
      <c r="X172" s="49" t="s">
        <v>717</v>
      </c>
      <c r="Y172" s="50" t="s">
        <v>717</v>
      </c>
      <c r="Z172" s="51" t="s">
        <v>717</v>
      </c>
      <c r="AA172" s="53" t="s">
        <v>717</v>
      </c>
      <c r="AB172" s="54" t="s">
        <v>717</v>
      </c>
      <c r="AC172" s="55" t="s">
        <v>717</v>
      </c>
      <c r="AD172" s="56" t="s">
        <v>717</v>
      </c>
      <c r="AE172" s="58" t="s">
        <v>717</v>
      </c>
      <c r="AF172" s="59" t="s">
        <v>717</v>
      </c>
      <c r="AG172" s="60" t="s">
        <v>717</v>
      </c>
      <c r="AH172" s="61" t="s">
        <v>717</v>
      </c>
      <c r="AI172" s="64">
        <v>3</v>
      </c>
      <c r="AJ172" s="66"/>
      <c r="AK172" s="22" t="s">
        <v>717</v>
      </c>
      <c r="AL172" s="23"/>
      <c r="AM172" s="23" t="s">
        <v>657</v>
      </c>
    </row>
    <row r="173" spans="1:41" s="3" customFormat="1" ht="14.5" x14ac:dyDescent="0.35">
      <c r="A173" s="24">
        <v>167</v>
      </c>
      <c r="B173" s="11" t="s">
        <v>5</v>
      </c>
      <c r="C173" s="11" t="s">
        <v>44</v>
      </c>
      <c r="D173" s="11">
        <v>103774</v>
      </c>
      <c r="E173" s="11">
        <v>48349</v>
      </c>
      <c r="F173" s="20" t="s">
        <v>559</v>
      </c>
      <c r="G173" s="20" t="s">
        <v>739</v>
      </c>
      <c r="H173" s="6">
        <v>29.621649999999999</v>
      </c>
      <c r="I173" s="6">
        <v>71.905019999999993</v>
      </c>
      <c r="J173" s="12" t="s">
        <v>14</v>
      </c>
      <c r="K173" s="11" t="s">
        <v>14</v>
      </c>
      <c r="L173" s="11" t="s">
        <v>433</v>
      </c>
      <c r="M173" s="11" t="s">
        <v>179</v>
      </c>
      <c r="N173" s="39">
        <f t="shared" si="3"/>
        <v>5</v>
      </c>
      <c r="O173" s="41" t="s">
        <v>717</v>
      </c>
      <c r="P173" s="42" t="s">
        <v>717</v>
      </c>
      <c r="Q173" s="43" t="s">
        <v>717</v>
      </c>
      <c r="R173" s="44" t="s">
        <v>717</v>
      </c>
      <c r="S173" s="46" t="s">
        <v>717</v>
      </c>
      <c r="T173" s="46" t="s">
        <v>717</v>
      </c>
      <c r="U173" s="46" t="s">
        <v>717</v>
      </c>
      <c r="V173" s="46" t="s">
        <v>717</v>
      </c>
      <c r="W173" s="48" t="s">
        <v>717</v>
      </c>
      <c r="X173" s="49" t="s">
        <v>717</v>
      </c>
      <c r="Y173" s="50" t="s">
        <v>717</v>
      </c>
      <c r="Z173" s="51" t="s">
        <v>717</v>
      </c>
      <c r="AA173" s="53" t="s">
        <v>717</v>
      </c>
      <c r="AB173" s="54" t="s">
        <v>717</v>
      </c>
      <c r="AC173" s="55" t="s">
        <v>717</v>
      </c>
      <c r="AD173" s="56" t="s">
        <v>717</v>
      </c>
      <c r="AE173" s="58" t="s">
        <v>717</v>
      </c>
      <c r="AF173" s="59" t="s">
        <v>717</v>
      </c>
      <c r="AG173" s="60" t="s">
        <v>717</v>
      </c>
      <c r="AH173" s="61" t="s">
        <v>717</v>
      </c>
      <c r="AI173" s="64">
        <v>5</v>
      </c>
      <c r="AJ173" s="66"/>
      <c r="AK173" s="22" t="s">
        <v>717</v>
      </c>
      <c r="AL173" s="23"/>
      <c r="AM173" s="23" t="s">
        <v>662</v>
      </c>
    </row>
    <row r="174" spans="1:41" s="3" customFormat="1" ht="14.5" x14ac:dyDescent="0.35">
      <c r="A174" s="24">
        <v>168</v>
      </c>
      <c r="B174" s="11" t="s">
        <v>5</v>
      </c>
      <c r="C174" s="11" t="s">
        <v>64</v>
      </c>
      <c r="D174" s="11">
        <v>104142</v>
      </c>
      <c r="E174" s="11">
        <v>48351</v>
      </c>
      <c r="F174" s="20" t="s">
        <v>559</v>
      </c>
      <c r="G174" s="20" t="s">
        <v>739</v>
      </c>
      <c r="H174" s="6">
        <v>29.52694</v>
      </c>
      <c r="I174" s="6">
        <v>71.641869999999997</v>
      </c>
      <c r="J174" s="12" t="s">
        <v>14</v>
      </c>
      <c r="K174" s="11" t="s">
        <v>14</v>
      </c>
      <c r="L174" s="11" t="s">
        <v>433</v>
      </c>
      <c r="M174" s="11" t="s">
        <v>197</v>
      </c>
      <c r="N174" s="39">
        <f t="shared" si="3"/>
        <v>2</v>
      </c>
      <c r="O174" s="41" t="s">
        <v>717</v>
      </c>
      <c r="P174" s="42" t="s">
        <v>717</v>
      </c>
      <c r="Q174" s="43" t="s">
        <v>717</v>
      </c>
      <c r="R174" s="44" t="s">
        <v>717</v>
      </c>
      <c r="S174" s="46" t="s">
        <v>717</v>
      </c>
      <c r="T174" s="46" t="s">
        <v>717</v>
      </c>
      <c r="U174" s="46" t="s">
        <v>717</v>
      </c>
      <c r="V174" s="46" t="s">
        <v>717</v>
      </c>
      <c r="W174" s="48" t="s">
        <v>717</v>
      </c>
      <c r="X174" s="49" t="s">
        <v>717</v>
      </c>
      <c r="Y174" s="50" t="s">
        <v>717</v>
      </c>
      <c r="Z174" s="51" t="s">
        <v>717</v>
      </c>
      <c r="AA174" s="53" t="s">
        <v>717</v>
      </c>
      <c r="AB174" s="54" t="s">
        <v>717</v>
      </c>
      <c r="AC174" s="55" t="s">
        <v>717</v>
      </c>
      <c r="AD174" s="56" t="s">
        <v>717</v>
      </c>
      <c r="AE174" s="58" t="s">
        <v>717</v>
      </c>
      <c r="AF174" s="59" t="s">
        <v>717</v>
      </c>
      <c r="AG174" s="60" t="s">
        <v>717</v>
      </c>
      <c r="AH174" s="61" t="s">
        <v>717</v>
      </c>
      <c r="AI174" s="64">
        <v>2</v>
      </c>
      <c r="AJ174" s="66"/>
      <c r="AK174" s="22" t="s">
        <v>717</v>
      </c>
      <c r="AL174" s="23"/>
      <c r="AM174" s="23" t="s">
        <v>646</v>
      </c>
    </row>
    <row r="175" spans="1:41" s="3" customFormat="1" ht="14.5" x14ac:dyDescent="0.35">
      <c r="A175" s="24">
        <v>169</v>
      </c>
      <c r="B175" s="11" t="s">
        <v>5</v>
      </c>
      <c r="C175" s="18" t="s">
        <v>19</v>
      </c>
      <c r="D175" s="11">
        <v>102325</v>
      </c>
      <c r="E175" s="11">
        <v>48353</v>
      </c>
      <c r="F175" s="20" t="s">
        <v>560</v>
      </c>
      <c r="G175" s="20" t="s">
        <v>738</v>
      </c>
      <c r="H175" s="6">
        <v>29.93441</v>
      </c>
      <c r="I175" s="6">
        <v>71.786630000000002</v>
      </c>
      <c r="J175" s="12" t="s">
        <v>20</v>
      </c>
      <c r="K175" s="11" t="s">
        <v>21</v>
      </c>
      <c r="L175" s="11" t="s">
        <v>433</v>
      </c>
      <c r="M175" s="11" t="s">
        <v>151</v>
      </c>
      <c r="N175" s="39">
        <f t="shared" si="3"/>
        <v>4</v>
      </c>
      <c r="O175" s="41" t="s">
        <v>592</v>
      </c>
      <c r="P175" s="42">
        <v>0</v>
      </c>
      <c r="Q175" s="43">
        <v>3</v>
      </c>
      <c r="R175" s="44">
        <v>0</v>
      </c>
      <c r="S175" s="46" t="s">
        <v>717</v>
      </c>
      <c r="T175" s="46" t="s">
        <v>717</v>
      </c>
      <c r="U175" s="46" t="s">
        <v>717</v>
      </c>
      <c r="V175" s="46" t="s">
        <v>717</v>
      </c>
      <c r="W175" s="48" t="s">
        <v>717</v>
      </c>
      <c r="X175" s="49" t="s">
        <v>717</v>
      </c>
      <c r="Y175" s="50" t="s">
        <v>717</v>
      </c>
      <c r="Z175" s="51" t="s">
        <v>717</v>
      </c>
      <c r="AA175" s="53" t="s">
        <v>717</v>
      </c>
      <c r="AB175" s="54" t="s">
        <v>717</v>
      </c>
      <c r="AC175" s="55" t="s">
        <v>717</v>
      </c>
      <c r="AD175" s="56" t="s">
        <v>717</v>
      </c>
      <c r="AE175" s="58" t="s">
        <v>717</v>
      </c>
      <c r="AF175" s="59" t="s">
        <v>717</v>
      </c>
      <c r="AG175" s="60" t="s">
        <v>717</v>
      </c>
      <c r="AH175" s="61" t="s">
        <v>717</v>
      </c>
      <c r="AI175" s="64">
        <v>1</v>
      </c>
      <c r="AJ175" s="66"/>
      <c r="AK175" s="36">
        <v>3</v>
      </c>
      <c r="AL175" s="23"/>
      <c r="AM175" s="23" t="s">
        <v>653</v>
      </c>
      <c r="AN175" s="123">
        <f>N175-AK175</f>
        <v>1</v>
      </c>
      <c r="AO175" s="31">
        <f>SUM(P175:R175)-AK175</f>
        <v>0</v>
      </c>
    </row>
    <row r="176" spans="1:41" s="3" customFormat="1" ht="14.5" x14ac:dyDescent="0.35">
      <c r="A176" s="24">
        <v>170</v>
      </c>
      <c r="B176" s="11" t="s">
        <v>5</v>
      </c>
      <c r="C176" s="18" t="s">
        <v>484</v>
      </c>
      <c r="D176" s="11">
        <v>116495</v>
      </c>
      <c r="E176" s="11">
        <v>48354</v>
      </c>
      <c r="F176" s="20" t="s">
        <v>560</v>
      </c>
      <c r="G176" s="20" t="s">
        <v>738</v>
      </c>
      <c r="H176" s="6">
        <v>30.00243</v>
      </c>
      <c r="I176" s="6">
        <v>71.815809999999999</v>
      </c>
      <c r="J176" s="12" t="s">
        <v>21</v>
      </c>
      <c r="K176" s="11" t="s">
        <v>21</v>
      </c>
      <c r="L176" s="11" t="s">
        <v>433</v>
      </c>
      <c r="M176" s="11" t="s">
        <v>159</v>
      </c>
      <c r="N176" s="39">
        <f t="shared" si="3"/>
        <v>3</v>
      </c>
      <c r="O176" s="41" t="s">
        <v>717</v>
      </c>
      <c r="P176" s="42" t="s">
        <v>717</v>
      </c>
      <c r="Q176" s="43" t="s">
        <v>717</v>
      </c>
      <c r="R176" s="44" t="s">
        <v>717</v>
      </c>
      <c r="S176" s="46" t="s">
        <v>585</v>
      </c>
      <c r="T176" s="46">
        <v>0</v>
      </c>
      <c r="U176" s="46">
        <v>3</v>
      </c>
      <c r="V176" s="46">
        <v>0</v>
      </c>
      <c r="W176" s="48" t="s">
        <v>717</v>
      </c>
      <c r="X176" s="49" t="s">
        <v>717</v>
      </c>
      <c r="Y176" s="50" t="s">
        <v>717</v>
      </c>
      <c r="Z176" s="51" t="s">
        <v>717</v>
      </c>
      <c r="AA176" s="53" t="s">
        <v>717</v>
      </c>
      <c r="AB176" s="54" t="s">
        <v>717</v>
      </c>
      <c r="AC176" s="55" t="s">
        <v>717</v>
      </c>
      <c r="AD176" s="56" t="s">
        <v>717</v>
      </c>
      <c r="AE176" s="58" t="s">
        <v>717</v>
      </c>
      <c r="AF176" s="59" t="s">
        <v>717</v>
      </c>
      <c r="AG176" s="60" t="s">
        <v>717</v>
      </c>
      <c r="AH176" s="61" t="s">
        <v>717</v>
      </c>
      <c r="AI176" s="64"/>
      <c r="AJ176" s="66"/>
      <c r="AK176" s="22" t="s">
        <v>717</v>
      </c>
      <c r="AL176" s="23"/>
      <c r="AM176" s="23"/>
    </row>
    <row r="177" spans="1:41" s="3" customFormat="1" ht="14.5" x14ac:dyDescent="0.35">
      <c r="A177" s="24">
        <v>171</v>
      </c>
      <c r="B177" s="11" t="s">
        <v>5</v>
      </c>
      <c r="C177" s="11" t="s">
        <v>27</v>
      </c>
      <c r="D177" s="11">
        <v>102687</v>
      </c>
      <c r="E177" s="11">
        <v>48355</v>
      </c>
      <c r="F177" s="20" t="s">
        <v>560</v>
      </c>
      <c r="G177" s="20" t="s">
        <v>738</v>
      </c>
      <c r="H177" s="6">
        <v>29.789210000000001</v>
      </c>
      <c r="I177" s="6">
        <v>72.161490000000001</v>
      </c>
      <c r="J177" s="12" t="s">
        <v>21</v>
      </c>
      <c r="K177" s="11" t="s">
        <v>21</v>
      </c>
      <c r="L177" s="11" t="s">
        <v>433</v>
      </c>
      <c r="M177" s="11" t="s">
        <v>157</v>
      </c>
      <c r="N177" s="39">
        <f t="shared" si="3"/>
        <v>3</v>
      </c>
      <c r="O177" s="41" t="s">
        <v>597</v>
      </c>
      <c r="P177" s="42">
        <v>0</v>
      </c>
      <c r="Q177" s="43">
        <v>3</v>
      </c>
      <c r="R177" s="44">
        <v>0</v>
      </c>
      <c r="S177" s="46" t="s">
        <v>717</v>
      </c>
      <c r="T177" s="46" t="s">
        <v>717</v>
      </c>
      <c r="U177" s="46" t="s">
        <v>717</v>
      </c>
      <c r="V177" s="46" t="s">
        <v>717</v>
      </c>
      <c r="W177" s="48" t="s">
        <v>717</v>
      </c>
      <c r="X177" s="49" t="s">
        <v>717</v>
      </c>
      <c r="Y177" s="50" t="s">
        <v>717</v>
      </c>
      <c r="Z177" s="51" t="s">
        <v>717</v>
      </c>
      <c r="AA177" s="53" t="s">
        <v>717</v>
      </c>
      <c r="AB177" s="54" t="s">
        <v>717</v>
      </c>
      <c r="AC177" s="55" t="s">
        <v>717</v>
      </c>
      <c r="AD177" s="56" t="s">
        <v>717</v>
      </c>
      <c r="AE177" s="58" t="s">
        <v>717</v>
      </c>
      <c r="AF177" s="59" t="s">
        <v>717</v>
      </c>
      <c r="AG177" s="60" t="s">
        <v>717</v>
      </c>
      <c r="AH177" s="61" t="s">
        <v>717</v>
      </c>
      <c r="AI177" s="64"/>
      <c r="AJ177" s="66"/>
      <c r="AK177" s="22">
        <v>3</v>
      </c>
      <c r="AL177" s="23"/>
      <c r="AM177" s="23"/>
      <c r="AN177" s="123">
        <f>N177-AK177</f>
        <v>0</v>
      </c>
    </row>
    <row r="178" spans="1:41" s="3" customFormat="1" ht="14.5" x14ac:dyDescent="0.35">
      <c r="A178" s="24">
        <v>172</v>
      </c>
      <c r="B178" s="11" t="s">
        <v>5</v>
      </c>
      <c r="C178" s="11" t="s">
        <v>486</v>
      </c>
      <c r="D178" s="11">
        <v>118492</v>
      </c>
      <c r="E178" s="11">
        <v>48357</v>
      </c>
      <c r="F178" s="20" t="s">
        <v>560</v>
      </c>
      <c r="G178" s="20" t="s">
        <v>738</v>
      </c>
      <c r="H178" s="6">
        <v>29.997553199999999</v>
      </c>
      <c r="I178" s="6">
        <v>71.830079400000002</v>
      </c>
      <c r="J178" s="12" t="s">
        <v>21</v>
      </c>
      <c r="K178" s="11" t="s">
        <v>304</v>
      </c>
      <c r="L178" s="11" t="s">
        <v>433</v>
      </c>
      <c r="M178" s="11" t="s">
        <v>173</v>
      </c>
      <c r="N178" s="39">
        <f t="shared" si="3"/>
        <v>3</v>
      </c>
      <c r="O178" s="41" t="s">
        <v>717</v>
      </c>
      <c r="P178" s="42" t="s">
        <v>717</v>
      </c>
      <c r="Q178" s="43" t="s">
        <v>717</v>
      </c>
      <c r="R178" s="44" t="s">
        <v>717</v>
      </c>
      <c r="S178" s="46" t="s">
        <v>587</v>
      </c>
      <c r="T178" s="46">
        <v>0</v>
      </c>
      <c r="U178" s="46">
        <v>1</v>
      </c>
      <c r="V178" s="46">
        <v>0</v>
      </c>
      <c r="W178" s="48" t="s">
        <v>717</v>
      </c>
      <c r="X178" s="49" t="s">
        <v>717</v>
      </c>
      <c r="Y178" s="50" t="s">
        <v>717</v>
      </c>
      <c r="Z178" s="51" t="s">
        <v>717</v>
      </c>
      <c r="AA178" s="53" t="s">
        <v>717</v>
      </c>
      <c r="AB178" s="54" t="s">
        <v>717</v>
      </c>
      <c r="AC178" s="55" t="s">
        <v>717</v>
      </c>
      <c r="AD178" s="56" t="s">
        <v>717</v>
      </c>
      <c r="AE178" s="58" t="s">
        <v>717</v>
      </c>
      <c r="AF178" s="59" t="s">
        <v>717</v>
      </c>
      <c r="AG178" s="60" t="s">
        <v>717</v>
      </c>
      <c r="AH178" s="61" t="s">
        <v>717</v>
      </c>
      <c r="AI178" s="64">
        <v>2</v>
      </c>
      <c r="AJ178" s="66"/>
      <c r="AK178" s="22" t="s">
        <v>717</v>
      </c>
      <c r="AL178" s="23"/>
      <c r="AM178" s="23" t="s">
        <v>684</v>
      </c>
    </row>
    <row r="179" spans="1:41" s="3" customFormat="1" ht="14.5" x14ac:dyDescent="0.35">
      <c r="A179" s="24">
        <v>173</v>
      </c>
      <c r="B179" s="11" t="s">
        <v>5</v>
      </c>
      <c r="C179" s="11" t="s">
        <v>345</v>
      </c>
      <c r="D179" s="11">
        <v>116095</v>
      </c>
      <c r="E179" s="11">
        <v>48360</v>
      </c>
      <c r="F179" s="20" t="s">
        <v>559</v>
      </c>
      <c r="G179" s="20" t="s">
        <v>739</v>
      </c>
      <c r="H179" s="6">
        <v>29.901289999999999</v>
      </c>
      <c r="I179" s="6">
        <v>72.014089999999996</v>
      </c>
      <c r="J179" s="12" t="s">
        <v>21</v>
      </c>
      <c r="K179" s="11" t="s">
        <v>6</v>
      </c>
      <c r="L179" s="11" t="s">
        <v>433</v>
      </c>
      <c r="M179" s="11" t="s">
        <v>372</v>
      </c>
      <c r="N179" s="39">
        <f t="shared" si="3"/>
        <v>3</v>
      </c>
      <c r="O179" s="41" t="s">
        <v>717</v>
      </c>
      <c r="P179" s="42" t="s">
        <v>717</v>
      </c>
      <c r="Q179" s="43" t="s">
        <v>717</v>
      </c>
      <c r="R179" s="44" t="s">
        <v>717</v>
      </c>
      <c r="S179" s="46" t="s">
        <v>717</v>
      </c>
      <c r="T179" s="46" t="s">
        <v>717</v>
      </c>
      <c r="U179" s="46" t="s">
        <v>717</v>
      </c>
      <c r="V179" s="46" t="s">
        <v>717</v>
      </c>
      <c r="W179" s="48" t="s">
        <v>717</v>
      </c>
      <c r="X179" s="49" t="s">
        <v>717</v>
      </c>
      <c r="Y179" s="50" t="s">
        <v>717</v>
      </c>
      <c r="Z179" s="51" t="s">
        <v>717</v>
      </c>
      <c r="AA179" s="53" t="s">
        <v>717</v>
      </c>
      <c r="AB179" s="54" t="s">
        <v>717</v>
      </c>
      <c r="AC179" s="55" t="s">
        <v>717</v>
      </c>
      <c r="AD179" s="56" t="s">
        <v>717</v>
      </c>
      <c r="AE179" s="58" t="s">
        <v>717</v>
      </c>
      <c r="AF179" s="59" t="s">
        <v>717</v>
      </c>
      <c r="AG179" s="60" t="s">
        <v>717</v>
      </c>
      <c r="AH179" s="61" t="s">
        <v>717</v>
      </c>
      <c r="AI179" s="64">
        <v>3</v>
      </c>
      <c r="AJ179" s="66"/>
      <c r="AK179" s="22" t="s">
        <v>717</v>
      </c>
      <c r="AL179" s="23"/>
      <c r="AM179" s="23" t="s">
        <v>657</v>
      </c>
    </row>
    <row r="180" spans="1:41" s="3" customFormat="1" ht="14.5" x14ac:dyDescent="0.35">
      <c r="A180" s="24">
        <v>174</v>
      </c>
      <c r="B180" s="11" t="s">
        <v>5</v>
      </c>
      <c r="C180" s="11" t="s">
        <v>25</v>
      </c>
      <c r="D180" s="11">
        <v>102622</v>
      </c>
      <c r="E180" s="11">
        <v>48361</v>
      </c>
      <c r="F180" s="20" t="s">
        <v>559</v>
      </c>
      <c r="G180" s="20" t="s">
        <v>739</v>
      </c>
      <c r="H180" s="6">
        <v>29.808779999999999</v>
      </c>
      <c r="I180" s="6">
        <v>72.210170000000005</v>
      </c>
      <c r="J180" s="12" t="s">
        <v>21</v>
      </c>
      <c r="K180" s="11" t="s">
        <v>20</v>
      </c>
      <c r="L180" s="11" t="s">
        <v>433</v>
      </c>
      <c r="M180" s="11" t="s">
        <v>156</v>
      </c>
      <c r="N180" s="39">
        <f t="shared" si="3"/>
        <v>2</v>
      </c>
      <c r="O180" s="41" t="s">
        <v>717</v>
      </c>
      <c r="P180" s="42" t="s">
        <v>717</v>
      </c>
      <c r="Q180" s="43" t="s">
        <v>717</v>
      </c>
      <c r="R180" s="44" t="s">
        <v>717</v>
      </c>
      <c r="S180" s="46" t="s">
        <v>717</v>
      </c>
      <c r="T180" s="46" t="s">
        <v>717</v>
      </c>
      <c r="U180" s="46" t="s">
        <v>717</v>
      </c>
      <c r="V180" s="46" t="s">
        <v>717</v>
      </c>
      <c r="W180" s="48" t="s">
        <v>717</v>
      </c>
      <c r="X180" s="49" t="s">
        <v>717</v>
      </c>
      <c r="Y180" s="50" t="s">
        <v>717</v>
      </c>
      <c r="Z180" s="51" t="s">
        <v>717</v>
      </c>
      <c r="AA180" s="53" t="s">
        <v>717</v>
      </c>
      <c r="AB180" s="54" t="s">
        <v>717</v>
      </c>
      <c r="AC180" s="55" t="s">
        <v>717</v>
      </c>
      <c r="AD180" s="56" t="s">
        <v>717</v>
      </c>
      <c r="AE180" s="58" t="s">
        <v>717</v>
      </c>
      <c r="AF180" s="59" t="s">
        <v>717</v>
      </c>
      <c r="AG180" s="60" t="s">
        <v>717</v>
      </c>
      <c r="AH180" s="61" t="s">
        <v>717</v>
      </c>
      <c r="AI180" s="64">
        <v>2</v>
      </c>
      <c r="AJ180" s="66"/>
      <c r="AK180" s="22" t="s">
        <v>717</v>
      </c>
      <c r="AL180" s="23"/>
      <c r="AM180" s="23" t="s">
        <v>673</v>
      </c>
    </row>
    <row r="181" spans="1:41" s="3" customFormat="1" ht="14.5" x14ac:dyDescent="0.35">
      <c r="A181" s="24">
        <v>175</v>
      </c>
      <c r="B181" s="11" t="s">
        <v>5</v>
      </c>
      <c r="C181" s="11" t="s">
        <v>353</v>
      </c>
      <c r="D181" s="11">
        <v>115133</v>
      </c>
      <c r="E181" s="11">
        <v>48368</v>
      </c>
      <c r="F181" s="20" t="s">
        <v>559</v>
      </c>
      <c r="G181" s="20" t="s">
        <v>739</v>
      </c>
      <c r="H181" s="6">
        <v>29.960180000000001</v>
      </c>
      <c r="I181" s="6">
        <v>72.057169999999999</v>
      </c>
      <c r="J181" s="12" t="s">
        <v>21</v>
      </c>
      <c r="K181" s="11" t="s">
        <v>21</v>
      </c>
      <c r="L181" s="11" t="s">
        <v>433</v>
      </c>
      <c r="M181" s="11" t="s">
        <v>303</v>
      </c>
      <c r="N181" s="39">
        <f t="shared" si="3"/>
        <v>0</v>
      </c>
      <c r="O181" s="41" t="s">
        <v>717</v>
      </c>
      <c r="P181" s="42" t="s">
        <v>717</v>
      </c>
      <c r="Q181" s="43" t="s">
        <v>717</v>
      </c>
      <c r="R181" s="44" t="s">
        <v>717</v>
      </c>
      <c r="S181" s="46" t="s">
        <v>717</v>
      </c>
      <c r="T181" s="46" t="s">
        <v>717</v>
      </c>
      <c r="U181" s="46" t="s">
        <v>717</v>
      </c>
      <c r="V181" s="46" t="s">
        <v>717</v>
      </c>
      <c r="W181" s="48" t="s">
        <v>717</v>
      </c>
      <c r="X181" s="49" t="s">
        <v>717</v>
      </c>
      <c r="Y181" s="50" t="s">
        <v>717</v>
      </c>
      <c r="Z181" s="51" t="s">
        <v>717</v>
      </c>
      <c r="AA181" s="53" t="s">
        <v>717</v>
      </c>
      <c r="AB181" s="54" t="s">
        <v>717</v>
      </c>
      <c r="AC181" s="55" t="s">
        <v>717</v>
      </c>
      <c r="AD181" s="56" t="s">
        <v>717</v>
      </c>
      <c r="AE181" s="58" t="s">
        <v>717</v>
      </c>
      <c r="AF181" s="59" t="s">
        <v>717</v>
      </c>
      <c r="AG181" s="60" t="s">
        <v>717</v>
      </c>
      <c r="AH181" s="61" t="s">
        <v>717</v>
      </c>
      <c r="AI181" s="69"/>
      <c r="AJ181" s="70"/>
      <c r="AK181" s="36" t="s">
        <v>717</v>
      </c>
      <c r="AL181" s="37"/>
      <c r="AM181" s="37"/>
    </row>
    <row r="182" spans="1:41" s="3" customFormat="1" ht="14.5" x14ac:dyDescent="0.35">
      <c r="A182" s="24">
        <v>176</v>
      </c>
      <c r="B182" s="11" t="s">
        <v>5</v>
      </c>
      <c r="C182" s="11" t="s">
        <v>485</v>
      </c>
      <c r="D182" s="11">
        <v>116798</v>
      </c>
      <c r="E182" s="11">
        <v>48369</v>
      </c>
      <c r="F182" s="20" t="s">
        <v>559</v>
      </c>
      <c r="G182" s="20" t="s">
        <v>739</v>
      </c>
      <c r="H182" s="6">
        <v>30.045780000000001</v>
      </c>
      <c r="I182" s="6">
        <v>72.0655</v>
      </c>
      <c r="J182" s="12" t="s">
        <v>21</v>
      </c>
      <c r="K182" s="11" t="s">
        <v>21</v>
      </c>
      <c r="L182" s="11" t="s">
        <v>433</v>
      </c>
      <c r="M182" s="11" t="s">
        <v>302</v>
      </c>
      <c r="N182" s="39">
        <f t="shared" si="3"/>
        <v>3</v>
      </c>
      <c r="O182" s="41" t="s">
        <v>717</v>
      </c>
      <c r="P182" s="42" t="s">
        <v>717</v>
      </c>
      <c r="Q182" s="43" t="s">
        <v>717</v>
      </c>
      <c r="R182" s="44" t="s">
        <v>717</v>
      </c>
      <c r="S182" s="46" t="s">
        <v>717</v>
      </c>
      <c r="T182" s="46" t="s">
        <v>717</v>
      </c>
      <c r="U182" s="46" t="s">
        <v>717</v>
      </c>
      <c r="V182" s="46" t="s">
        <v>717</v>
      </c>
      <c r="W182" s="48" t="s">
        <v>717</v>
      </c>
      <c r="X182" s="49" t="s">
        <v>717</v>
      </c>
      <c r="Y182" s="50" t="s">
        <v>717</v>
      </c>
      <c r="Z182" s="51" t="s">
        <v>717</v>
      </c>
      <c r="AA182" s="53" t="s">
        <v>717</v>
      </c>
      <c r="AB182" s="54" t="s">
        <v>717</v>
      </c>
      <c r="AC182" s="55" t="s">
        <v>717</v>
      </c>
      <c r="AD182" s="56" t="s">
        <v>717</v>
      </c>
      <c r="AE182" s="58" t="s">
        <v>717</v>
      </c>
      <c r="AF182" s="59" t="s">
        <v>717</v>
      </c>
      <c r="AG182" s="60" t="s">
        <v>717</v>
      </c>
      <c r="AH182" s="61" t="s">
        <v>717</v>
      </c>
      <c r="AI182" s="64">
        <v>3</v>
      </c>
      <c r="AJ182" s="66"/>
      <c r="AK182" s="22" t="s">
        <v>717</v>
      </c>
      <c r="AL182" s="23"/>
      <c r="AM182" s="23" t="s">
        <v>660</v>
      </c>
    </row>
    <row r="183" spans="1:41" s="3" customFormat="1" ht="14.5" x14ac:dyDescent="0.35">
      <c r="A183" s="24">
        <v>177</v>
      </c>
      <c r="B183" s="11" t="s">
        <v>5</v>
      </c>
      <c r="C183" s="11" t="s">
        <v>31</v>
      </c>
      <c r="D183" s="11">
        <v>102939</v>
      </c>
      <c r="E183" s="11">
        <v>48379</v>
      </c>
      <c r="F183" s="20" t="s">
        <v>559</v>
      </c>
      <c r="G183" s="20" t="s">
        <v>739</v>
      </c>
      <c r="H183" s="6">
        <v>29.97139</v>
      </c>
      <c r="I183" s="6">
        <v>71.899659999999997</v>
      </c>
      <c r="J183" s="12" t="s">
        <v>21</v>
      </c>
      <c r="K183" s="11" t="s">
        <v>21</v>
      </c>
      <c r="L183" s="11" t="s">
        <v>433</v>
      </c>
      <c r="M183" s="11" t="s">
        <v>165</v>
      </c>
      <c r="N183" s="39">
        <f t="shared" si="3"/>
        <v>3</v>
      </c>
      <c r="O183" s="41" t="s">
        <v>717</v>
      </c>
      <c r="P183" s="42" t="s">
        <v>717</v>
      </c>
      <c r="Q183" s="43" t="s">
        <v>717</v>
      </c>
      <c r="R183" s="44" t="s">
        <v>717</v>
      </c>
      <c r="S183" s="46" t="s">
        <v>717</v>
      </c>
      <c r="T183" s="46" t="s">
        <v>717</v>
      </c>
      <c r="U183" s="46" t="s">
        <v>717</v>
      </c>
      <c r="V183" s="46" t="s">
        <v>717</v>
      </c>
      <c r="W183" s="48" t="s">
        <v>717</v>
      </c>
      <c r="X183" s="49" t="s">
        <v>717</v>
      </c>
      <c r="Y183" s="50" t="s">
        <v>717</v>
      </c>
      <c r="Z183" s="51" t="s">
        <v>717</v>
      </c>
      <c r="AA183" s="53" t="s">
        <v>717</v>
      </c>
      <c r="AB183" s="54" t="s">
        <v>717</v>
      </c>
      <c r="AC183" s="55" t="s">
        <v>717</v>
      </c>
      <c r="AD183" s="56" t="s">
        <v>717</v>
      </c>
      <c r="AE183" s="58" t="s">
        <v>717</v>
      </c>
      <c r="AF183" s="59" t="s">
        <v>717</v>
      </c>
      <c r="AG183" s="60" t="s">
        <v>717</v>
      </c>
      <c r="AH183" s="61" t="s">
        <v>717</v>
      </c>
      <c r="AI183" s="64">
        <v>3</v>
      </c>
      <c r="AJ183" s="66"/>
      <c r="AK183" s="22" t="s">
        <v>717</v>
      </c>
      <c r="AL183" s="23"/>
      <c r="AM183" s="23" t="s">
        <v>660</v>
      </c>
    </row>
    <row r="184" spans="1:41" s="3" customFormat="1" ht="14.5" x14ac:dyDescent="0.35">
      <c r="A184" s="24">
        <v>178</v>
      </c>
      <c r="B184" s="11" t="s">
        <v>5</v>
      </c>
      <c r="C184" s="11" t="s">
        <v>24</v>
      </c>
      <c r="D184" s="11">
        <v>102962</v>
      </c>
      <c r="E184" s="11">
        <v>48381</v>
      </c>
      <c r="F184" s="20" t="s">
        <v>559</v>
      </c>
      <c r="G184" s="20" t="s">
        <v>739</v>
      </c>
      <c r="H184" s="6">
        <v>29.836459999999999</v>
      </c>
      <c r="I184" s="6">
        <v>72.250659999999996</v>
      </c>
      <c r="J184" s="12" t="s">
        <v>21</v>
      </c>
      <c r="K184" s="11" t="s">
        <v>21</v>
      </c>
      <c r="L184" s="11" t="s">
        <v>433</v>
      </c>
      <c r="M184" s="11" t="s">
        <v>155</v>
      </c>
      <c r="N184" s="39">
        <f t="shared" si="3"/>
        <v>2</v>
      </c>
      <c r="O184" s="41" t="s">
        <v>717</v>
      </c>
      <c r="P184" s="42" t="s">
        <v>717</v>
      </c>
      <c r="Q184" s="43" t="s">
        <v>717</v>
      </c>
      <c r="R184" s="44" t="s">
        <v>717</v>
      </c>
      <c r="S184" s="46" t="s">
        <v>717</v>
      </c>
      <c r="T184" s="46" t="s">
        <v>717</v>
      </c>
      <c r="U184" s="46" t="s">
        <v>717</v>
      </c>
      <c r="V184" s="46" t="s">
        <v>717</v>
      </c>
      <c r="W184" s="48" t="s">
        <v>717</v>
      </c>
      <c r="X184" s="49" t="s">
        <v>717</v>
      </c>
      <c r="Y184" s="50" t="s">
        <v>717</v>
      </c>
      <c r="Z184" s="51" t="s">
        <v>717</v>
      </c>
      <c r="AA184" s="53" t="s">
        <v>717</v>
      </c>
      <c r="AB184" s="54" t="s">
        <v>717</v>
      </c>
      <c r="AC184" s="55" t="s">
        <v>717</v>
      </c>
      <c r="AD184" s="56" t="s">
        <v>717</v>
      </c>
      <c r="AE184" s="58" t="s">
        <v>717</v>
      </c>
      <c r="AF184" s="59" t="s">
        <v>717</v>
      </c>
      <c r="AG184" s="60" t="s">
        <v>717</v>
      </c>
      <c r="AH184" s="61" t="s">
        <v>717</v>
      </c>
      <c r="AI184" s="64">
        <v>2</v>
      </c>
      <c r="AJ184" s="66"/>
      <c r="AK184" s="22" t="s">
        <v>717</v>
      </c>
      <c r="AL184" s="23"/>
      <c r="AM184" s="23" t="s">
        <v>675</v>
      </c>
    </row>
    <row r="185" spans="1:41" s="3" customFormat="1" ht="14.5" x14ac:dyDescent="0.35">
      <c r="A185" s="24">
        <v>179</v>
      </c>
      <c r="B185" s="11" t="s">
        <v>5</v>
      </c>
      <c r="C185" s="11" t="s">
        <v>36</v>
      </c>
      <c r="D185" s="11">
        <v>102969</v>
      </c>
      <c r="E185" s="11">
        <v>48382</v>
      </c>
      <c r="F185" s="20" t="s">
        <v>559</v>
      </c>
      <c r="G185" s="20" t="s">
        <v>739</v>
      </c>
      <c r="H185" s="6">
        <v>29.746189999999999</v>
      </c>
      <c r="I185" s="6">
        <v>72.08681</v>
      </c>
      <c r="J185" s="12" t="s">
        <v>21</v>
      </c>
      <c r="K185" s="11" t="s">
        <v>409</v>
      </c>
      <c r="L185" s="11" t="s">
        <v>433</v>
      </c>
      <c r="M185" s="11" t="s">
        <v>169</v>
      </c>
      <c r="N185" s="39">
        <f t="shared" si="3"/>
        <v>3</v>
      </c>
      <c r="O185" s="41" t="s">
        <v>717</v>
      </c>
      <c r="P185" s="42" t="s">
        <v>717</v>
      </c>
      <c r="Q185" s="43" t="s">
        <v>717</v>
      </c>
      <c r="R185" s="44" t="s">
        <v>717</v>
      </c>
      <c r="S185" s="46" t="s">
        <v>717</v>
      </c>
      <c r="T185" s="46" t="s">
        <v>717</v>
      </c>
      <c r="U185" s="46" t="s">
        <v>717</v>
      </c>
      <c r="V185" s="46" t="s">
        <v>717</v>
      </c>
      <c r="W185" s="48" t="s">
        <v>717</v>
      </c>
      <c r="X185" s="49" t="s">
        <v>717</v>
      </c>
      <c r="Y185" s="50" t="s">
        <v>717</v>
      </c>
      <c r="Z185" s="51" t="s">
        <v>717</v>
      </c>
      <c r="AA185" s="53" t="s">
        <v>717</v>
      </c>
      <c r="AB185" s="54" t="s">
        <v>717</v>
      </c>
      <c r="AC185" s="55" t="s">
        <v>717</v>
      </c>
      <c r="AD185" s="56" t="s">
        <v>717</v>
      </c>
      <c r="AE185" s="58" t="s">
        <v>717</v>
      </c>
      <c r="AF185" s="59" t="s">
        <v>717</v>
      </c>
      <c r="AG185" s="60" t="s">
        <v>717</v>
      </c>
      <c r="AH185" s="61" t="s">
        <v>717</v>
      </c>
      <c r="AI185" s="64">
        <v>3</v>
      </c>
      <c r="AJ185" s="66"/>
      <c r="AK185" s="22" t="s">
        <v>717</v>
      </c>
      <c r="AL185" s="23"/>
      <c r="AM185" s="23" t="s">
        <v>668</v>
      </c>
    </row>
    <row r="186" spans="1:41" s="3" customFormat="1" ht="14.5" x14ac:dyDescent="0.35">
      <c r="A186" s="24">
        <v>180</v>
      </c>
      <c r="B186" s="11" t="s">
        <v>5</v>
      </c>
      <c r="C186" s="32" t="s">
        <v>23</v>
      </c>
      <c r="D186" s="32">
        <v>102974</v>
      </c>
      <c r="E186" s="32">
        <v>48383</v>
      </c>
      <c r="F186" s="20" t="s">
        <v>560</v>
      </c>
      <c r="G186" s="20" t="s">
        <v>739</v>
      </c>
      <c r="H186" s="6">
        <v>30.025829999999999</v>
      </c>
      <c r="I186" s="6">
        <v>72.284739999999999</v>
      </c>
      <c r="J186" s="12" t="s">
        <v>21</v>
      </c>
      <c r="K186" s="11" t="s">
        <v>21</v>
      </c>
      <c r="L186" s="11" t="s">
        <v>433</v>
      </c>
      <c r="M186" s="11" t="s">
        <v>154</v>
      </c>
      <c r="N186" s="39">
        <f t="shared" si="3"/>
        <v>4</v>
      </c>
      <c r="O186" s="41" t="s">
        <v>592</v>
      </c>
      <c r="P186" s="42">
        <v>0</v>
      </c>
      <c r="Q186" s="43">
        <v>3</v>
      </c>
      <c r="R186" s="44">
        <v>0</v>
      </c>
      <c r="S186" s="46" t="s">
        <v>717</v>
      </c>
      <c r="T186" s="46" t="s">
        <v>717</v>
      </c>
      <c r="U186" s="46" t="s">
        <v>717</v>
      </c>
      <c r="V186" s="46" t="s">
        <v>717</v>
      </c>
      <c r="W186" s="48" t="s">
        <v>717</v>
      </c>
      <c r="X186" s="49" t="s">
        <v>717</v>
      </c>
      <c r="Y186" s="50" t="s">
        <v>717</v>
      </c>
      <c r="Z186" s="51" t="s">
        <v>717</v>
      </c>
      <c r="AA186" s="53" t="s">
        <v>717</v>
      </c>
      <c r="AB186" s="54" t="s">
        <v>717</v>
      </c>
      <c r="AC186" s="55" t="s">
        <v>717</v>
      </c>
      <c r="AD186" s="56" t="s">
        <v>717</v>
      </c>
      <c r="AE186" s="58" t="s">
        <v>717</v>
      </c>
      <c r="AF186" s="59" t="s">
        <v>717</v>
      </c>
      <c r="AG186" s="60" t="s">
        <v>717</v>
      </c>
      <c r="AH186" s="61" t="s">
        <v>717</v>
      </c>
      <c r="AI186" s="64">
        <v>1</v>
      </c>
      <c r="AJ186" s="66"/>
      <c r="AK186" s="22" t="s">
        <v>717</v>
      </c>
      <c r="AL186" s="23"/>
      <c r="AM186" s="23" t="s">
        <v>653</v>
      </c>
    </row>
    <row r="187" spans="1:41" s="3" customFormat="1" ht="14.5" x14ac:dyDescent="0.35">
      <c r="A187" s="24">
        <v>181</v>
      </c>
      <c r="B187" s="11" t="s">
        <v>5</v>
      </c>
      <c r="C187" s="11" t="s">
        <v>32</v>
      </c>
      <c r="D187" s="11">
        <v>102988</v>
      </c>
      <c r="E187" s="11">
        <v>48385</v>
      </c>
      <c r="F187" s="20" t="s">
        <v>559</v>
      </c>
      <c r="G187" s="20" t="s">
        <v>739</v>
      </c>
      <c r="H187" s="6">
        <v>30.039580000000001</v>
      </c>
      <c r="I187" s="6">
        <v>72.041589999999999</v>
      </c>
      <c r="J187" s="12" t="s">
        <v>21</v>
      </c>
      <c r="K187" s="11" t="s">
        <v>21</v>
      </c>
      <c r="L187" s="11" t="s">
        <v>433</v>
      </c>
      <c r="M187" s="11" t="s">
        <v>33</v>
      </c>
      <c r="N187" s="39">
        <f t="shared" si="3"/>
        <v>0</v>
      </c>
      <c r="O187" s="41" t="s">
        <v>717</v>
      </c>
      <c r="P187" s="42" t="s">
        <v>717</v>
      </c>
      <c r="Q187" s="43" t="s">
        <v>717</v>
      </c>
      <c r="R187" s="44" t="s">
        <v>717</v>
      </c>
      <c r="S187" s="46" t="s">
        <v>717</v>
      </c>
      <c r="T187" s="46" t="s">
        <v>717</v>
      </c>
      <c r="U187" s="46" t="s">
        <v>717</v>
      </c>
      <c r="V187" s="46" t="s">
        <v>717</v>
      </c>
      <c r="W187" s="48" t="s">
        <v>717</v>
      </c>
      <c r="X187" s="49" t="s">
        <v>717</v>
      </c>
      <c r="Y187" s="50" t="s">
        <v>717</v>
      </c>
      <c r="Z187" s="51" t="s">
        <v>717</v>
      </c>
      <c r="AA187" s="53" t="s">
        <v>717</v>
      </c>
      <c r="AB187" s="54" t="s">
        <v>717</v>
      </c>
      <c r="AC187" s="55" t="s">
        <v>717</v>
      </c>
      <c r="AD187" s="56" t="s">
        <v>717</v>
      </c>
      <c r="AE187" s="58" t="s">
        <v>717</v>
      </c>
      <c r="AF187" s="59" t="s">
        <v>717</v>
      </c>
      <c r="AG187" s="60" t="s">
        <v>717</v>
      </c>
      <c r="AH187" s="61" t="s">
        <v>717</v>
      </c>
      <c r="AI187" s="64"/>
      <c r="AJ187" s="70"/>
      <c r="AK187" s="36" t="s">
        <v>717</v>
      </c>
      <c r="AL187" s="37"/>
      <c r="AM187" s="37"/>
    </row>
    <row r="188" spans="1:41" s="3" customFormat="1" ht="14.5" x14ac:dyDescent="0.35">
      <c r="A188" s="24">
        <v>182</v>
      </c>
      <c r="B188" s="11" t="s">
        <v>5</v>
      </c>
      <c r="C188" s="11" t="s">
        <v>29</v>
      </c>
      <c r="D188" s="11">
        <v>103021</v>
      </c>
      <c r="E188" s="11">
        <v>48388</v>
      </c>
      <c r="F188" s="20" t="s">
        <v>559</v>
      </c>
      <c r="G188" s="20" t="s">
        <v>739</v>
      </c>
      <c r="H188" s="6">
        <v>29.966570000000001</v>
      </c>
      <c r="I188" s="6">
        <v>72.31859</v>
      </c>
      <c r="J188" s="12" t="s">
        <v>21</v>
      </c>
      <c r="K188" s="11" t="s">
        <v>21</v>
      </c>
      <c r="L188" s="11" t="s">
        <v>433</v>
      </c>
      <c r="M188" s="11" t="s">
        <v>162</v>
      </c>
      <c r="N188" s="39">
        <f t="shared" si="3"/>
        <v>3</v>
      </c>
      <c r="O188" s="41" t="s">
        <v>717</v>
      </c>
      <c r="P188" s="42" t="s">
        <v>717</v>
      </c>
      <c r="Q188" s="43" t="s">
        <v>717</v>
      </c>
      <c r="R188" s="44" t="s">
        <v>717</v>
      </c>
      <c r="S188" s="46" t="s">
        <v>717</v>
      </c>
      <c r="T188" s="46" t="s">
        <v>717</v>
      </c>
      <c r="U188" s="46" t="s">
        <v>717</v>
      </c>
      <c r="V188" s="46" t="s">
        <v>717</v>
      </c>
      <c r="W188" s="48" t="s">
        <v>717</v>
      </c>
      <c r="X188" s="49" t="s">
        <v>717</v>
      </c>
      <c r="Y188" s="50" t="s">
        <v>717</v>
      </c>
      <c r="Z188" s="51" t="s">
        <v>717</v>
      </c>
      <c r="AA188" s="53" t="s">
        <v>717</v>
      </c>
      <c r="AB188" s="54" t="s">
        <v>717</v>
      </c>
      <c r="AC188" s="55" t="s">
        <v>717</v>
      </c>
      <c r="AD188" s="56" t="s">
        <v>717</v>
      </c>
      <c r="AE188" s="58" t="s">
        <v>717</v>
      </c>
      <c r="AF188" s="59" t="s">
        <v>717</v>
      </c>
      <c r="AG188" s="60" t="s">
        <v>717</v>
      </c>
      <c r="AH188" s="61" t="s">
        <v>717</v>
      </c>
      <c r="AI188" s="64">
        <v>3</v>
      </c>
      <c r="AJ188" s="66"/>
      <c r="AK188" s="36">
        <v>2</v>
      </c>
      <c r="AL188" s="23"/>
      <c r="AM188" s="23" t="s">
        <v>627</v>
      </c>
      <c r="AN188" s="123">
        <f>N188-AK188</f>
        <v>1</v>
      </c>
      <c r="AO188" s="31">
        <f t="shared" ref="AO188:AO189" si="4">SUM(P188:R188)-AK188</f>
        <v>-2</v>
      </c>
    </row>
    <row r="189" spans="1:41" s="3" customFormat="1" ht="14.5" x14ac:dyDescent="0.35">
      <c r="A189" s="24">
        <v>183</v>
      </c>
      <c r="B189" s="11" t="s">
        <v>5</v>
      </c>
      <c r="C189" s="11" t="s">
        <v>22</v>
      </c>
      <c r="D189" s="11">
        <v>103088</v>
      </c>
      <c r="E189" s="11">
        <v>48394</v>
      </c>
      <c r="F189" s="20" t="s">
        <v>560</v>
      </c>
      <c r="G189" s="20" t="s">
        <v>738</v>
      </c>
      <c r="H189" s="6">
        <v>30.009460000000001</v>
      </c>
      <c r="I189" s="6">
        <v>71.962429999999998</v>
      </c>
      <c r="J189" s="12" t="s">
        <v>21</v>
      </c>
      <c r="K189" s="11" t="s">
        <v>21</v>
      </c>
      <c r="L189" s="11" t="s">
        <v>433</v>
      </c>
      <c r="M189" s="11" t="s">
        <v>153</v>
      </c>
      <c r="N189" s="39">
        <f t="shared" si="3"/>
        <v>4</v>
      </c>
      <c r="O189" s="41" t="s">
        <v>597</v>
      </c>
      <c r="P189" s="42" t="s">
        <v>717</v>
      </c>
      <c r="Q189" s="43">
        <v>3</v>
      </c>
      <c r="R189" s="44" t="s">
        <v>717</v>
      </c>
      <c r="S189" s="46" t="s">
        <v>587</v>
      </c>
      <c r="T189" s="46" t="s">
        <v>717</v>
      </c>
      <c r="U189" s="46">
        <v>1</v>
      </c>
      <c r="V189" s="46" t="s">
        <v>717</v>
      </c>
      <c r="W189" s="48" t="s">
        <v>717</v>
      </c>
      <c r="X189" s="49" t="s">
        <v>717</v>
      </c>
      <c r="Y189" s="50" t="s">
        <v>717</v>
      </c>
      <c r="Z189" s="51" t="s">
        <v>717</v>
      </c>
      <c r="AA189" s="53" t="s">
        <v>717</v>
      </c>
      <c r="AB189" s="54" t="s">
        <v>717</v>
      </c>
      <c r="AC189" s="55" t="s">
        <v>717</v>
      </c>
      <c r="AD189" s="56" t="s">
        <v>717</v>
      </c>
      <c r="AE189" s="58" t="s">
        <v>717</v>
      </c>
      <c r="AF189" s="59" t="s">
        <v>717</v>
      </c>
      <c r="AG189" s="60" t="s">
        <v>717</v>
      </c>
      <c r="AH189" s="61" t="s">
        <v>717</v>
      </c>
      <c r="AI189" s="64"/>
      <c r="AJ189" s="66"/>
      <c r="AK189" s="36">
        <v>3</v>
      </c>
      <c r="AL189" s="23"/>
      <c r="AM189" s="23"/>
      <c r="AN189" s="123">
        <f>N189-AK189</f>
        <v>1</v>
      </c>
      <c r="AO189" s="31">
        <f t="shared" si="4"/>
        <v>0</v>
      </c>
    </row>
    <row r="190" spans="1:41" s="3" customFormat="1" ht="14.5" x14ac:dyDescent="0.35">
      <c r="A190" s="24">
        <v>184</v>
      </c>
      <c r="B190" s="11" t="s">
        <v>5</v>
      </c>
      <c r="C190" s="11" t="s">
        <v>28</v>
      </c>
      <c r="D190" s="11">
        <v>103130</v>
      </c>
      <c r="E190" s="11">
        <v>48395</v>
      </c>
      <c r="F190" s="20" t="s">
        <v>560</v>
      </c>
      <c r="G190" s="20" t="s">
        <v>738</v>
      </c>
      <c r="H190" s="6">
        <v>30.046559999999999</v>
      </c>
      <c r="I190" s="6">
        <v>72.128100000000003</v>
      </c>
      <c r="J190" s="12" t="s">
        <v>21</v>
      </c>
      <c r="K190" s="11" t="s">
        <v>21</v>
      </c>
      <c r="L190" s="11" t="s">
        <v>433</v>
      </c>
      <c r="M190" s="11" t="s">
        <v>161</v>
      </c>
      <c r="N190" s="39">
        <f t="shared" si="3"/>
        <v>3</v>
      </c>
      <c r="O190" s="41" t="s">
        <v>592</v>
      </c>
      <c r="P190" s="42">
        <v>0</v>
      </c>
      <c r="Q190" s="43">
        <v>3</v>
      </c>
      <c r="R190" s="44">
        <v>0</v>
      </c>
      <c r="S190" s="46" t="s">
        <v>717</v>
      </c>
      <c r="T190" s="46" t="s">
        <v>717</v>
      </c>
      <c r="U190" s="46" t="s">
        <v>717</v>
      </c>
      <c r="V190" s="46" t="s">
        <v>717</v>
      </c>
      <c r="W190" s="48" t="s">
        <v>717</v>
      </c>
      <c r="X190" s="49" t="s">
        <v>717</v>
      </c>
      <c r="Y190" s="50" t="s">
        <v>717</v>
      </c>
      <c r="Z190" s="51" t="s">
        <v>717</v>
      </c>
      <c r="AA190" s="53" t="s">
        <v>717</v>
      </c>
      <c r="AB190" s="54" t="s">
        <v>717</v>
      </c>
      <c r="AC190" s="55" t="s">
        <v>717</v>
      </c>
      <c r="AD190" s="56" t="s">
        <v>717</v>
      </c>
      <c r="AE190" s="58" t="s">
        <v>717</v>
      </c>
      <c r="AF190" s="59" t="s">
        <v>717</v>
      </c>
      <c r="AG190" s="60" t="s">
        <v>717</v>
      </c>
      <c r="AH190" s="61" t="s">
        <v>717</v>
      </c>
      <c r="AI190" s="64"/>
      <c r="AJ190" s="66"/>
      <c r="AK190" s="22" t="s">
        <v>717</v>
      </c>
      <c r="AL190" s="23"/>
      <c r="AM190" s="23"/>
    </row>
    <row r="191" spans="1:41" s="3" customFormat="1" ht="14.5" x14ac:dyDescent="0.35">
      <c r="A191" s="24">
        <v>185</v>
      </c>
      <c r="B191" s="11" t="s">
        <v>5</v>
      </c>
      <c r="C191" s="11" t="s">
        <v>42</v>
      </c>
      <c r="D191" s="11">
        <v>103182</v>
      </c>
      <c r="E191" s="11">
        <v>48397</v>
      </c>
      <c r="F191" s="20" t="s">
        <v>559</v>
      </c>
      <c r="G191" s="20" t="s">
        <v>739</v>
      </c>
      <c r="H191" s="6">
        <v>29.927342599999999</v>
      </c>
      <c r="I191" s="6">
        <v>71.805767000000003</v>
      </c>
      <c r="J191" s="12" t="s">
        <v>21</v>
      </c>
      <c r="K191" s="11" t="s">
        <v>21</v>
      </c>
      <c r="L191" s="11" t="s">
        <v>433</v>
      </c>
      <c r="M191" s="11" t="s">
        <v>177</v>
      </c>
      <c r="N191" s="39">
        <f t="shared" si="3"/>
        <v>3</v>
      </c>
      <c r="O191" s="41" t="s">
        <v>717</v>
      </c>
      <c r="P191" s="42" t="s">
        <v>717</v>
      </c>
      <c r="Q191" s="43" t="s">
        <v>717</v>
      </c>
      <c r="R191" s="44" t="s">
        <v>717</v>
      </c>
      <c r="S191" s="46" t="s">
        <v>717</v>
      </c>
      <c r="T191" s="46" t="s">
        <v>717</v>
      </c>
      <c r="U191" s="46" t="s">
        <v>717</v>
      </c>
      <c r="V191" s="46" t="s">
        <v>717</v>
      </c>
      <c r="W191" s="48" t="s">
        <v>717</v>
      </c>
      <c r="X191" s="49" t="s">
        <v>717</v>
      </c>
      <c r="Y191" s="50" t="s">
        <v>717</v>
      </c>
      <c r="Z191" s="51" t="s">
        <v>717</v>
      </c>
      <c r="AA191" s="53" t="s">
        <v>717</v>
      </c>
      <c r="AB191" s="54" t="s">
        <v>717</v>
      </c>
      <c r="AC191" s="55" t="s">
        <v>717</v>
      </c>
      <c r="AD191" s="56" t="s">
        <v>717</v>
      </c>
      <c r="AE191" s="58" t="s">
        <v>717</v>
      </c>
      <c r="AF191" s="59" t="s">
        <v>717</v>
      </c>
      <c r="AG191" s="60" t="s">
        <v>717</v>
      </c>
      <c r="AH191" s="61" t="s">
        <v>717</v>
      </c>
      <c r="AI191" s="64">
        <v>3</v>
      </c>
      <c r="AJ191" s="66"/>
      <c r="AK191" s="22" t="s">
        <v>717</v>
      </c>
      <c r="AL191" s="23"/>
      <c r="AM191" s="23" t="s">
        <v>664</v>
      </c>
    </row>
    <row r="192" spans="1:41" s="3" customFormat="1" ht="14.5" x14ac:dyDescent="0.35">
      <c r="A192" s="24">
        <v>186</v>
      </c>
      <c r="B192" s="11" t="s">
        <v>5</v>
      </c>
      <c r="C192" s="11" t="s">
        <v>26</v>
      </c>
      <c r="D192" s="11">
        <v>103204</v>
      </c>
      <c r="E192" s="11">
        <v>48398</v>
      </c>
      <c r="F192" s="20" t="s">
        <v>559</v>
      </c>
      <c r="G192" s="20" t="s">
        <v>739</v>
      </c>
      <c r="H192" s="6">
        <v>29.955279999999998</v>
      </c>
      <c r="I192" s="6">
        <v>72.079009999999997</v>
      </c>
      <c r="J192" s="12" t="s">
        <v>21</v>
      </c>
      <c r="K192" s="11" t="s">
        <v>21</v>
      </c>
      <c r="L192" s="11" t="s">
        <v>433</v>
      </c>
      <c r="M192" s="11" t="s">
        <v>158</v>
      </c>
      <c r="N192" s="39">
        <f t="shared" si="3"/>
        <v>3</v>
      </c>
      <c r="O192" s="41" t="s">
        <v>717</v>
      </c>
      <c r="P192" s="42" t="s">
        <v>717</v>
      </c>
      <c r="Q192" s="43" t="s">
        <v>717</v>
      </c>
      <c r="R192" s="44" t="s">
        <v>717</v>
      </c>
      <c r="S192" s="46" t="s">
        <v>717</v>
      </c>
      <c r="T192" s="46" t="s">
        <v>717</v>
      </c>
      <c r="U192" s="46" t="s">
        <v>717</v>
      </c>
      <c r="V192" s="46" t="s">
        <v>717</v>
      </c>
      <c r="W192" s="48" t="s">
        <v>717</v>
      </c>
      <c r="X192" s="49" t="s">
        <v>717</v>
      </c>
      <c r="Y192" s="50" t="s">
        <v>717</v>
      </c>
      <c r="Z192" s="51" t="s">
        <v>717</v>
      </c>
      <c r="AA192" s="53" t="s">
        <v>717</v>
      </c>
      <c r="AB192" s="54" t="s">
        <v>717</v>
      </c>
      <c r="AC192" s="55" t="s">
        <v>717</v>
      </c>
      <c r="AD192" s="56" t="s">
        <v>717</v>
      </c>
      <c r="AE192" s="58" t="s">
        <v>717</v>
      </c>
      <c r="AF192" s="59" t="s">
        <v>717</v>
      </c>
      <c r="AG192" s="60" t="s">
        <v>717</v>
      </c>
      <c r="AH192" s="61" t="s">
        <v>717</v>
      </c>
      <c r="AI192" s="64">
        <v>3</v>
      </c>
      <c r="AJ192" s="66"/>
      <c r="AK192" s="22" t="s">
        <v>717</v>
      </c>
      <c r="AL192" s="23"/>
      <c r="AM192" s="23" t="s">
        <v>661</v>
      </c>
    </row>
    <row r="193" spans="1:41" s="3" customFormat="1" ht="14" customHeight="1" x14ac:dyDescent="0.35">
      <c r="A193" s="24">
        <v>187</v>
      </c>
      <c r="B193" s="11" t="s">
        <v>5</v>
      </c>
      <c r="C193" s="12" t="s">
        <v>43</v>
      </c>
      <c r="D193" s="11">
        <v>103364</v>
      </c>
      <c r="E193" s="11">
        <v>48399</v>
      </c>
      <c r="F193" s="20" t="s">
        <v>560</v>
      </c>
      <c r="G193" s="20" t="s">
        <v>738</v>
      </c>
      <c r="H193" s="6">
        <v>29.88822</v>
      </c>
      <c r="I193" s="6">
        <v>72.035979999999995</v>
      </c>
      <c r="J193" s="12" t="s">
        <v>21</v>
      </c>
      <c r="K193" s="11" t="s">
        <v>21</v>
      </c>
      <c r="L193" s="11" t="s">
        <v>433</v>
      </c>
      <c r="M193" s="11" t="s">
        <v>178</v>
      </c>
      <c r="N193" s="39">
        <f t="shared" si="3"/>
        <v>3</v>
      </c>
      <c r="O193" s="41" t="s">
        <v>597</v>
      </c>
      <c r="P193" s="42">
        <v>0</v>
      </c>
      <c r="Q193" s="43">
        <v>3</v>
      </c>
      <c r="R193" s="44">
        <v>0</v>
      </c>
      <c r="S193" s="46" t="s">
        <v>717</v>
      </c>
      <c r="T193" s="46" t="s">
        <v>717</v>
      </c>
      <c r="U193" s="46" t="s">
        <v>717</v>
      </c>
      <c r="V193" s="46" t="s">
        <v>717</v>
      </c>
      <c r="W193" s="48" t="s">
        <v>717</v>
      </c>
      <c r="X193" s="49" t="s">
        <v>717</v>
      </c>
      <c r="Y193" s="50" t="s">
        <v>717</v>
      </c>
      <c r="Z193" s="51" t="s">
        <v>717</v>
      </c>
      <c r="AA193" s="53" t="s">
        <v>717</v>
      </c>
      <c r="AB193" s="54" t="s">
        <v>717</v>
      </c>
      <c r="AC193" s="55" t="s">
        <v>717</v>
      </c>
      <c r="AD193" s="56" t="s">
        <v>717</v>
      </c>
      <c r="AE193" s="58" t="s">
        <v>717</v>
      </c>
      <c r="AF193" s="59" t="s">
        <v>717</v>
      </c>
      <c r="AG193" s="60" t="s">
        <v>717</v>
      </c>
      <c r="AH193" s="61" t="s">
        <v>717</v>
      </c>
      <c r="AI193" s="64"/>
      <c r="AJ193" s="66"/>
      <c r="AK193" s="22">
        <v>3</v>
      </c>
      <c r="AL193" s="23"/>
      <c r="AM193" s="23"/>
      <c r="AN193" s="123">
        <f>N193-AK193</f>
        <v>0</v>
      </c>
    </row>
    <row r="194" spans="1:41" s="3" customFormat="1" ht="14.5" x14ac:dyDescent="0.35">
      <c r="A194" s="24">
        <v>188</v>
      </c>
      <c r="B194" s="11" t="s">
        <v>5</v>
      </c>
      <c r="C194" s="12" t="s">
        <v>355</v>
      </c>
      <c r="D194" s="11">
        <v>103591</v>
      </c>
      <c r="E194" s="11">
        <v>48401</v>
      </c>
      <c r="F194" s="20" t="s">
        <v>559</v>
      </c>
      <c r="G194" s="20" t="s">
        <v>739</v>
      </c>
      <c r="H194" s="6">
        <v>30.100629999999999</v>
      </c>
      <c r="I194" s="6">
        <v>72.210679999999996</v>
      </c>
      <c r="J194" s="12" t="s">
        <v>21</v>
      </c>
      <c r="K194" s="11" t="s">
        <v>21</v>
      </c>
      <c r="L194" s="11" t="s">
        <v>433</v>
      </c>
      <c r="M194" s="11" t="s">
        <v>160</v>
      </c>
      <c r="N194" s="39">
        <f t="shared" si="3"/>
        <v>3</v>
      </c>
      <c r="O194" s="41" t="s">
        <v>717</v>
      </c>
      <c r="P194" s="42" t="s">
        <v>717</v>
      </c>
      <c r="Q194" s="43" t="s">
        <v>717</v>
      </c>
      <c r="R194" s="44" t="s">
        <v>717</v>
      </c>
      <c r="S194" s="46" t="s">
        <v>717</v>
      </c>
      <c r="T194" s="46" t="s">
        <v>717</v>
      </c>
      <c r="U194" s="46" t="s">
        <v>717</v>
      </c>
      <c r="V194" s="46" t="s">
        <v>717</v>
      </c>
      <c r="W194" s="48" t="s">
        <v>717</v>
      </c>
      <c r="X194" s="49" t="s">
        <v>717</v>
      </c>
      <c r="Y194" s="50" t="s">
        <v>717</v>
      </c>
      <c r="Z194" s="51" t="s">
        <v>717</v>
      </c>
      <c r="AA194" s="53" t="s">
        <v>717</v>
      </c>
      <c r="AB194" s="54" t="s">
        <v>717</v>
      </c>
      <c r="AC194" s="55" t="s">
        <v>717</v>
      </c>
      <c r="AD194" s="56" t="s">
        <v>717</v>
      </c>
      <c r="AE194" s="58" t="s">
        <v>717</v>
      </c>
      <c r="AF194" s="59" t="s">
        <v>717</v>
      </c>
      <c r="AG194" s="60" t="s">
        <v>717</v>
      </c>
      <c r="AH194" s="61" t="s">
        <v>717</v>
      </c>
      <c r="AI194" s="64">
        <v>3</v>
      </c>
      <c r="AJ194" s="66"/>
      <c r="AK194" s="22" t="s">
        <v>717</v>
      </c>
      <c r="AL194" s="23"/>
      <c r="AM194" s="23" t="s">
        <v>667</v>
      </c>
    </row>
    <row r="195" spans="1:41" s="3" customFormat="1" ht="14.5" x14ac:dyDescent="0.35">
      <c r="A195" s="24">
        <v>189</v>
      </c>
      <c r="B195" s="11" t="s">
        <v>5</v>
      </c>
      <c r="C195" s="11" t="s">
        <v>40</v>
      </c>
      <c r="D195" s="11">
        <v>103692</v>
      </c>
      <c r="E195" s="11">
        <v>48403</v>
      </c>
      <c r="F195" s="20" t="s">
        <v>559</v>
      </c>
      <c r="G195" s="20" t="s">
        <v>739</v>
      </c>
      <c r="H195" s="6">
        <v>30.001840000000001</v>
      </c>
      <c r="I195" s="6">
        <v>71.823220000000006</v>
      </c>
      <c r="J195" s="12" t="s">
        <v>21</v>
      </c>
      <c r="K195" s="11" t="s">
        <v>21</v>
      </c>
      <c r="L195" s="11" t="s">
        <v>433</v>
      </c>
      <c r="M195" s="11" t="s">
        <v>175</v>
      </c>
      <c r="N195" s="39">
        <f t="shared" si="3"/>
        <v>2</v>
      </c>
      <c r="O195" s="41" t="s">
        <v>717</v>
      </c>
      <c r="P195" s="42" t="s">
        <v>717</v>
      </c>
      <c r="Q195" s="43" t="s">
        <v>717</v>
      </c>
      <c r="R195" s="44" t="s">
        <v>717</v>
      </c>
      <c r="S195" s="46" t="s">
        <v>717</v>
      </c>
      <c r="T195" s="46" t="s">
        <v>717</v>
      </c>
      <c r="U195" s="46" t="s">
        <v>717</v>
      </c>
      <c r="V195" s="46" t="s">
        <v>717</v>
      </c>
      <c r="W195" s="48" t="s">
        <v>717</v>
      </c>
      <c r="X195" s="49" t="s">
        <v>717</v>
      </c>
      <c r="Y195" s="50" t="s">
        <v>717</v>
      </c>
      <c r="Z195" s="51" t="s">
        <v>717</v>
      </c>
      <c r="AA195" s="53" t="s">
        <v>717</v>
      </c>
      <c r="AB195" s="54" t="s">
        <v>717</v>
      </c>
      <c r="AC195" s="55" t="s">
        <v>717</v>
      </c>
      <c r="AD195" s="56" t="s">
        <v>717</v>
      </c>
      <c r="AE195" s="58" t="s">
        <v>717</v>
      </c>
      <c r="AF195" s="59" t="s">
        <v>717</v>
      </c>
      <c r="AG195" s="60" t="s">
        <v>717</v>
      </c>
      <c r="AH195" s="61" t="s">
        <v>717</v>
      </c>
      <c r="AI195" s="64">
        <v>2</v>
      </c>
      <c r="AJ195" s="66"/>
      <c r="AK195" s="22" t="s">
        <v>717</v>
      </c>
      <c r="AL195" s="23"/>
      <c r="AM195" s="23" t="s">
        <v>674</v>
      </c>
    </row>
    <row r="196" spans="1:41" s="3" customFormat="1" ht="14.5" x14ac:dyDescent="0.35">
      <c r="A196" s="24">
        <v>190</v>
      </c>
      <c r="B196" s="11" t="s">
        <v>5</v>
      </c>
      <c r="C196" s="11" t="s">
        <v>494</v>
      </c>
      <c r="D196" s="11">
        <v>118241</v>
      </c>
      <c r="E196" s="11">
        <v>48404</v>
      </c>
      <c r="F196" s="20" t="s">
        <v>560</v>
      </c>
      <c r="G196" s="20" t="s">
        <v>738</v>
      </c>
      <c r="H196" s="6">
        <v>29.920950000000001</v>
      </c>
      <c r="I196" s="6">
        <v>72.320509999999999</v>
      </c>
      <c r="J196" s="12" t="s">
        <v>21</v>
      </c>
      <c r="K196" s="11" t="s">
        <v>21</v>
      </c>
      <c r="L196" s="11" t="s">
        <v>433</v>
      </c>
      <c r="M196" s="11" t="s">
        <v>152</v>
      </c>
      <c r="N196" s="39">
        <f t="shared" si="3"/>
        <v>4</v>
      </c>
      <c r="O196" s="41" t="s">
        <v>592</v>
      </c>
      <c r="P196" s="42">
        <v>0</v>
      </c>
      <c r="Q196" s="43">
        <v>3</v>
      </c>
      <c r="R196" s="44">
        <v>0</v>
      </c>
      <c r="S196" s="46" t="s">
        <v>717</v>
      </c>
      <c r="T196" s="46" t="s">
        <v>717</v>
      </c>
      <c r="U196" s="46" t="s">
        <v>717</v>
      </c>
      <c r="V196" s="46" t="s">
        <v>717</v>
      </c>
      <c r="W196" s="48" t="s">
        <v>717</v>
      </c>
      <c r="X196" s="49" t="s">
        <v>717</v>
      </c>
      <c r="Y196" s="50" t="s">
        <v>717</v>
      </c>
      <c r="Z196" s="51" t="s">
        <v>717</v>
      </c>
      <c r="AA196" s="53" t="s">
        <v>717</v>
      </c>
      <c r="AB196" s="54" t="s">
        <v>717</v>
      </c>
      <c r="AC196" s="55" t="s">
        <v>717</v>
      </c>
      <c r="AD196" s="56" t="s">
        <v>717</v>
      </c>
      <c r="AE196" s="58" t="s">
        <v>717</v>
      </c>
      <c r="AF196" s="59" t="s">
        <v>717</v>
      </c>
      <c r="AG196" s="60" t="s">
        <v>717</v>
      </c>
      <c r="AH196" s="61" t="s">
        <v>717</v>
      </c>
      <c r="AI196" s="64">
        <v>1</v>
      </c>
      <c r="AJ196" s="66"/>
      <c r="AK196" s="36">
        <v>3</v>
      </c>
      <c r="AL196" s="23"/>
      <c r="AM196" s="23" t="s">
        <v>681</v>
      </c>
      <c r="AN196" s="123">
        <f>N196-AK196</f>
        <v>1</v>
      </c>
      <c r="AO196" s="31">
        <f>SUM(P196:R196)-AK196</f>
        <v>0</v>
      </c>
    </row>
    <row r="197" spans="1:41" s="3" customFormat="1" ht="14.5" x14ac:dyDescent="0.35">
      <c r="A197" s="24">
        <v>191</v>
      </c>
      <c r="B197" s="11" t="s">
        <v>5</v>
      </c>
      <c r="C197" s="11" t="s">
        <v>37</v>
      </c>
      <c r="D197" s="11">
        <v>104134</v>
      </c>
      <c r="E197" s="11">
        <v>48406</v>
      </c>
      <c r="F197" s="20" t="s">
        <v>559</v>
      </c>
      <c r="G197" s="20" t="s">
        <v>739</v>
      </c>
      <c r="H197" s="6">
        <v>29.880289999999999</v>
      </c>
      <c r="I197" s="6">
        <v>71.995450000000005</v>
      </c>
      <c r="J197" s="12" t="s">
        <v>21</v>
      </c>
      <c r="K197" s="11" t="s">
        <v>21</v>
      </c>
      <c r="L197" s="11" t="s">
        <v>433</v>
      </c>
      <c r="M197" s="11" t="s">
        <v>170</v>
      </c>
      <c r="N197" s="39">
        <f t="shared" si="3"/>
        <v>3</v>
      </c>
      <c r="O197" s="41" t="s">
        <v>717</v>
      </c>
      <c r="P197" s="42" t="s">
        <v>717</v>
      </c>
      <c r="Q197" s="43" t="s">
        <v>717</v>
      </c>
      <c r="R197" s="44" t="s">
        <v>717</v>
      </c>
      <c r="S197" s="46" t="s">
        <v>717</v>
      </c>
      <c r="T197" s="46" t="s">
        <v>717</v>
      </c>
      <c r="U197" s="46" t="s">
        <v>717</v>
      </c>
      <c r="V197" s="46" t="s">
        <v>717</v>
      </c>
      <c r="W197" s="48" t="s">
        <v>717</v>
      </c>
      <c r="X197" s="49" t="s">
        <v>717</v>
      </c>
      <c r="Y197" s="50" t="s">
        <v>717</v>
      </c>
      <c r="Z197" s="51" t="s">
        <v>717</v>
      </c>
      <c r="AA197" s="53" t="s">
        <v>717</v>
      </c>
      <c r="AB197" s="54" t="s">
        <v>717</v>
      </c>
      <c r="AC197" s="55" t="s">
        <v>717</v>
      </c>
      <c r="AD197" s="56" t="s">
        <v>717</v>
      </c>
      <c r="AE197" s="58" t="s">
        <v>717</v>
      </c>
      <c r="AF197" s="59" t="s">
        <v>717</v>
      </c>
      <c r="AG197" s="60" t="s">
        <v>717</v>
      </c>
      <c r="AH197" s="61" t="s">
        <v>717</v>
      </c>
      <c r="AI197" s="64">
        <v>3</v>
      </c>
      <c r="AJ197" s="66"/>
      <c r="AK197" s="22" t="s">
        <v>717</v>
      </c>
      <c r="AL197" s="23"/>
      <c r="AM197" s="23" t="s">
        <v>667</v>
      </c>
    </row>
    <row r="198" spans="1:41" s="3" customFormat="1" ht="14.5" x14ac:dyDescent="0.35">
      <c r="A198" s="24">
        <v>192</v>
      </c>
      <c r="B198" s="11" t="s">
        <v>5</v>
      </c>
      <c r="C198" s="11" t="s">
        <v>497</v>
      </c>
      <c r="D198" s="11">
        <v>117090</v>
      </c>
      <c r="E198" s="11">
        <v>48408</v>
      </c>
      <c r="F198" s="20" t="s">
        <v>560</v>
      </c>
      <c r="G198" s="20" t="s">
        <v>738</v>
      </c>
      <c r="H198" s="6">
        <v>28.639410000000002</v>
      </c>
      <c r="I198" s="6">
        <v>70.362110000000001</v>
      </c>
      <c r="J198" s="12" t="s">
        <v>91</v>
      </c>
      <c r="K198" s="11" t="s">
        <v>91</v>
      </c>
      <c r="L198" s="11" t="s">
        <v>433</v>
      </c>
      <c r="M198" s="11" t="s">
        <v>394</v>
      </c>
      <c r="N198" s="39">
        <f>SUM(P198:R198,T198:V198,X198:Z198,AB198:AD198,AF198:AH198,,,,,AI198:AJ198,)</f>
        <v>3</v>
      </c>
      <c r="O198" s="41" t="s">
        <v>711</v>
      </c>
      <c r="P198" s="42" t="s">
        <v>717</v>
      </c>
      <c r="Q198" s="43">
        <v>1</v>
      </c>
      <c r="R198" s="44" t="s">
        <v>717</v>
      </c>
      <c r="S198" s="46" t="s">
        <v>605</v>
      </c>
      <c r="T198" s="46" t="s">
        <v>717</v>
      </c>
      <c r="U198" s="46">
        <v>2</v>
      </c>
      <c r="V198" s="46" t="s">
        <v>717</v>
      </c>
      <c r="W198" s="48" t="s">
        <v>717</v>
      </c>
      <c r="X198" s="49" t="s">
        <v>717</v>
      </c>
      <c r="Y198" s="50" t="s">
        <v>717</v>
      </c>
      <c r="Z198" s="51" t="s">
        <v>717</v>
      </c>
      <c r="AA198" s="53" t="s">
        <v>717</v>
      </c>
      <c r="AB198" s="54" t="s">
        <v>717</v>
      </c>
      <c r="AC198" s="55" t="s">
        <v>717</v>
      </c>
      <c r="AD198" s="56" t="s">
        <v>717</v>
      </c>
      <c r="AE198" s="58" t="s">
        <v>717</v>
      </c>
      <c r="AF198" s="59" t="s">
        <v>717</v>
      </c>
      <c r="AG198" s="60" t="s">
        <v>717</v>
      </c>
      <c r="AH198" s="61" t="s">
        <v>717</v>
      </c>
      <c r="AI198" s="64"/>
      <c r="AJ198" s="66"/>
      <c r="AK198" s="22" t="s">
        <v>717</v>
      </c>
      <c r="AL198" s="23"/>
      <c r="AM198" s="23"/>
    </row>
    <row r="199" spans="1:41" s="3" customFormat="1" ht="14.5" x14ac:dyDescent="0.35">
      <c r="A199" s="24">
        <v>193</v>
      </c>
      <c r="B199" s="11" t="s">
        <v>5</v>
      </c>
      <c r="C199" s="15" t="s">
        <v>97</v>
      </c>
      <c r="D199" s="11">
        <v>105240</v>
      </c>
      <c r="E199" s="11">
        <v>48409</v>
      </c>
      <c r="F199" s="20" t="s">
        <v>560</v>
      </c>
      <c r="G199" s="20" t="s">
        <v>738</v>
      </c>
      <c r="H199" s="6">
        <v>28.341429999999999</v>
      </c>
      <c r="I199" s="6">
        <v>70.135080000000002</v>
      </c>
      <c r="J199" s="12" t="s">
        <v>13</v>
      </c>
      <c r="K199" s="11" t="s">
        <v>13</v>
      </c>
      <c r="L199" s="11" t="s">
        <v>433</v>
      </c>
      <c r="M199" s="11" t="s">
        <v>246</v>
      </c>
      <c r="N199" s="39">
        <f t="shared" si="3"/>
        <v>4</v>
      </c>
      <c r="O199" s="41" t="s">
        <v>717</v>
      </c>
      <c r="P199" s="42" t="s">
        <v>717</v>
      </c>
      <c r="Q199" s="43" t="s">
        <v>717</v>
      </c>
      <c r="R199" s="44" t="s">
        <v>717</v>
      </c>
      <c r="S199" s="46" t="s">
        <v>717</v>
      </c>
      <c r="T199" s="46" t="s">
        <v>717</v>
      </c>
      <c r="U199" s="46" t="s">
        <v>717</v>
      </c>
      <c r="V199" s="46" t="s">
        <v>717</v>
      </c>
      <c r="W199" s="48" t="s">
        <v>717</v>
      </c>
      <c r="X199" s="49" t="s">
        <v>717</v>
      </c>
      <c r="Y199" s="50" t="s">
        <v>717</v>
      </c>
      <c r="Z199" s="51" t="s">
        <v>717</v>
      </c>
      <c r="AA199" s="53" t="s">
        <v>717</v>
      </c>
      <c r="AB199" s="54" t="s">
        <v>717</v>
      </c>
      <c r="AC199" s="55" t="s">
        <v>717</v>
      </c>
      <c r="AD199" s="56" t="s">
        <v>717</v>
      </c>
      <c r="AE199" s="58" t="s">
        <v>717</v>
      </c>
      <c r="AF199" s="59" t="s">
        <v>717</v>
      </c>
      <c r="AG199" s="60" t="s">
        <v>717</v>
      </c>
      <c r="AH199" s="61" t="s">
        <v>717</v>
      </c>
      <c r="AI199" s="64">
        <v>4</v>
      </c>
      <c r="AJ199" s="66"/>
      <c r="AK199" s="22" t="s">
        <v>717</v>
      </c>
      <c r="AL199" s="23"/>
      <c r="AM199" s="23" t="s">
        <v>672</v>
      </c>
    </row>
    <row r="200" spans="1:41" s="3" customFormat="1" ht="14.5" x14ac:dyDescent="0.35">
      <c r="A200" s="24">
        <v>194</v>
      </c>
      <c r="B200" s="11" t="s">
        <v>5</v>
      </c>
      <c r="C200" s="14" t="s">
        <v>112</v>
      </c>
      <c r="D200" s="11">
        <v>105255</v>
      </c>
      <c r="E200" s="11">
        <v>48410</v>
      </c>
      <c r="F200" s="20" t="s">
        <v>560</v>
      </c>
      <c r="G200" s="20" t="s">
        <v>738</v>
      </c>
      <c r="H200" s="6">
        <v>28.801459999999999</v>
      </c>
      <c r="I200" s="6">
        <v>70.543570000000003</v>
      </c>
      <c r="J200" s="12" t="s">
        <v>13</v>
      </c>
      <c r="K200" s="11" t="s">
        <v>91</v>
      </c>
      <c r="L200" s="11" t="s">
        <v>433</v>
      </c>
      <c r="M200" s="11" t="s">
        <v>260</v>
      </c>
      <c r="N200" s="39">
        <f t="shared" ref="N200:N263" si="5">SUM(P200:R200,T200:V200,X200:Z200,AB200:AD200,AF200:AH200,,,,,AI200:AJ200,)</f>
        <v>4</v>
      </c>
      <c r="O200" s="41"/>
      <c r="P200" s="42"/>
      <c r="Q200" s="43"/>
      <c r="R200" s="44" t="s">
        <v>717</v>
      </c>
      <c r="S200" s="46" t="s">
        <v>582</v>
      </c>
      <c r="T200" s="46" t="s">
        <v>717</v>
      </c>
      <c r="U200" s="46">
        <v>1</v>
      </c>
      <c r="V200" s="46">
        <v>2</v>
      </c>
      <c r="W200" s="48" t="s">
        <v>717</v>
      </c>
      <c r="X200" s="49" t="s">
        <v>717</v>
      </c>
      <c r="Y200" s="50" t="s">
        <v>717</v>
      </c>
      <c r="Z200" s="51" t="s">
        <v>717</v>
      </c>
      <c r="AA200" s="53" t="s">
        <v>717</v>
      </c>
      <c r="AB200" s="54" t="s">
        <v>717</v>
      </c>
      <c r="AC200" s="55" t="s">
        <v>717</v>
      </c>
      <c r="AD200" s="56" t="s">
        <v>717</v>
      </c>
      <c r="AE200" s="58" t="s">
        <v>717</v>
      </c>
      <c r="AF200" s="59" t="s">
        <v>717</v>
      </c>
      <c r="AG200" s="60" t="s">
        <v>717</v>
      </c>
      <c r="AH200" s="61" t="s">
        <v>717</v>
      </c>
      <c r="AI200" s="64">
        <v>1</v>
      </c>
      <c r="AJ200" s="66"/>
      <c r="AK200" s="22" t="s">
        <v>717</v>
      </c>
      <c r="AL200" s="23"/>
      <c r="AM200" s="23" t="s">
        <v>653</v>
      </c>
    </row>
    <row r="201" spans="1:41" s="3" customFormat="1" ht="14.5" x14ac:dyDescent="0.35">
      <c r="A201" s="24">
        <v>195</v>
      </c>
      <c r="B201" s="11" t="s">
        <v>5</v>
      </c>
      <c r="C201" s="11" t="s">
        <v>108</v>
      </c>
      <c r="D201" s="11">
        <v>105256</v>
      </c>
      <c r="E201" s="11">
        <v>48411</v>
      </c>
      <c r="F201" s="20" t="s">
        <v>560</v>
      </c>
      <c r="G201" s="20" t="s">
        <v>738</v>
      </c>
      <c r="H201" s="6">
        <v>29.074480000000001</v>
      </c>
      <c r="I201" s="6">
        <v>70.878159999999994</v>
      </c>
      <c r="J201" s="12" t="s">
        <v>13</v>
      </c>
      <c r="K201" s="11" t="s">
        <v>6</v>
      </c>
      <c r="L201" s="11" t="s">
        <v>433</v>
      </c>
      <c r="M201" s="11" t="s">
        <v>256</v>
      </c>
      <c r="N201" s="39">
        <f t="shared" si="5"/>
        <v>4</v>
      </c>
      <c r="O201" s="41" t="s">
        <v>717</v>
      </c>
      <c r="P201" s="42" t="s">
        <v>717</v>
      </c>
      <c r="Q201" s="43" t="s">
        <v>717</v>
      </c>
      <c r="R201" s="44" t="s">
        <v>717</v>
      </c>
      <c r="S201" s="46" t="s">
        <v>605</v>
      </c>
      <c r="T201" s="46">
        <v>0</v>
      </c>
      <c r="U201" s="46">
        <v>2</v>
      </c>
      <c r="V201" s="46">
        <v>0</v>
      </c>
      <c r="W201" s="48" t="s">
        <v>717</v>
      </c>
      <c r="X201" s="49" t="s">
        <v>717</v>
      </c>
      <c r="Y201" s="50" t="s">
        <v>717</v>
      </c>
      <c r="Z201" s="51" t="s">
        <v>717</v>
      </c>
      <c r="AA201" s="53" t="s">
        <v>717</v>
      </c>
      <c r="AB201" s="54" t="s">
        <v>717</v>
      </c>
      <c r="AC201" s="55" t="s">
        <v>717</v>
      </c>
      <c r="AD201" s="56" t="s">
        <v>717</v>
      </c>
      <c r="AE201" s="58" t="s">
        <v>717</v>
      </c>
      <c r="AF201" s="59" t="s">
        <v>717</v>
      </c>
      <c r="AG201" s="60" t="s">
        <v>717</v>
      </c>
      <c r="AH201" s="61" t="s">
        <v>717</v>
      </c>
      <c r="AI201" s="64">
        <v>2</v>
      </c>
      <c r="AJ201" s="66"/>
      <c r="AK201" s="22" t="s">
        <v>717</v>
      </c>
      <c r="AL201" s="23"/>
      <c r="AM201" s="23" t="s">
        <v>688</v>
      </c>
    </row>
    <row r="202" spans="1:41" s="3" customFormat="1" ht="14.5" x14ac:dyDescent="0.35">
      <c r="A202" s="24">
        <v>196</v>
      </c>
      <c r="B202" s="11" t="s">
        <v>5</v>
      </c>
      <c r="C202" s="11" t="s">
        <v>419</v>
      </c>
      <c r="D202" s="11">
        <v>117404</v>
      </c>
      <c r="E202" s="11">
        <v>48412</v>
      </c>
      <c r="F202" s="20" t="s">
        <v>560</v>
      </c>
      <c r="G202" s="20" t="s">
        <v>739</v>
      </c>
      <c r="H202" s="6">
        <v>29.03389</v>
      </c>
      <c r="I202" s="6">
        <v>71.412629999999993</v>
      </c>
      <c r="J202" s="12" t="s">
        <v>13</v>
      </c>
      <c r="K202" s="11" t="s">
        <v>91</v>
      </c>
      <c r="L202" s="11" t="s">
        <v>433</v>
      </c>
      <c r="M202" s="11" t="s">
        <v>405</v>
      </c>
      <c r="N202" s="39">
        <f t="shared" si="5"/>
        <v>3</v>
      </c>
      <c r="O202" s="41" t="s">
        <v>717</v>
      </c>
      <c r="P202" s="42" t="s">
        <v>717</v>
      </c>
      <c r="Q202" s="43" t="s">
        <v>717</v>
      </c>
      <c r="R202" s="44" t="s">
        <v>717</v>
      </c>
      <c r="S202" s="46" t="s">
        <v>717</v>
      </c>
      <c r="T202" s="46" t="s">
        <v>717</v>
      </c>
      <c r="U202" s="46" t="s">
        <v>717</v>
      </c>
      <c r="V202" s="46" t="s">
        <v>717</v>
      </c>
      <c r="W202" s="48" t="s">
        <v>717</v>
      </c>
      <c r="X202" s="49" t="s">
        <v>717</v>
      </c>
      <c r="Y202" s="50" t="s">
        <v>717</v>
      </c>
      <c r="Z202" s="51" t="s">
        <v>717</v>
      </c>
      <c r="AA202" s="53" t="s">
        <v>717</v>
      </c>
      <c r="AB202" s="54" t="s">
        <v>717</v>
      </c>
      <c r="AC202" s="55" t="s">
        <v>717</v>
      </c>
      <c r="AD202" s="56" t="s">
        <v>717</v>
      </c>
      <c r="AE202" s="58" t="s">
        <v>717</v>
      </c>
      <c r="AF202" s="59" t="s">
        <v>717</v>
      </c>
      <c r="AG202" s="60" t="s">
        <v>717</v>
      </c>
      <c r="AH202" s="61" t="s">
        <v>717</v>
      </c>
      <c r="AI202" s="64">
        <v>2</v>
      </c>
      <c r="AJ202" s="64">
        <v>1</v>
      </c>
      <c r="AK202" s="22" t="s">
        <v>717</v>
      </c>
      <c r="AL202" s="23"/>
      <c r="AM202" s="23" t="s">
        <v>637</v>
      </c>
    </row>
    <row r="203" spans="1:41" s="3" customFormat="1" ht="14.5" x14ac:dyDescent="0.35">
      <c r="A203" s="24">
        <v>197</v>
      </c>
      <c r="B203" s="11" t="s">
        <v>5</v>
      </c>
      <c r="C203" s="11" t="s">
        <v>609</v>
      </c>
      <c r="D203" s="11">
        <v>110703</v>
      </c>
      <c r="E203" s="11">
        <v>48417</v>
      </c>
      <c r="F203" s="20" t="s">
        <v>560</v>
      </c>
      <c r="G203" s="20" t="s">
        <v>738</v>
      </c>
      <c r="H203" s="6">
        <v>29.807729999999999</v>
      </c>
      <c r="I203" s="6">
        <v>72.168940000000006</v>
      </c>
      <c r="J203" s="12" t="s">
        <v>17</v>
      </c>
      <c r="K203" s="11" t="s">
        <v>410</v>
      </c>
      <c r="L203" s="11" t="s">
        <v>433</v>
      </c>
      <c r="M203" s="11" t="s">
        <v>18</v>
      </c>
      <c r="N203" s="39">
        <f t="shared" si="5"/>
        <v>3</v>
      </c>
      <c r="O203" s="41" t="s">
        <v>717</v>
      </c>
      <c r="P203" s="42" t="s">
        <v>717</v>
      </c>
      <c r="Q203" s="43" t="s">
        <v>717</v>
      </c>
      <c r="R203" s="44" t="s">
        <v>717</v>
      </c>
      <c r="S203" s="46" t="s">
        <v>605</v>
      </c>
      <c r="T203" s="46">
        <v>0</v>
      </c>
      <c r="U203" s="46">
        <v>2</v>
      </c>
      <c r="V203" s="46">
        <v>0</v>
      </c>
      <c r="W203" s="48" t="s">
        <v>717</v>
      </c>
      <c r="X203" s="49" t="s">
        <v>717</v>
      </c>
      <c r="Y203" s="50" t="s">
        <v>717</v>
      </c>
      <c r="Z203" s="51" t="s">
        <v>717</v>
      </c>
      <c r="AA203" s="53" t="s">
        <v>717</v>
      </c>
      <c r="AB203" s="54" t="s">
        <v>717</v>
      </c>
      <c r="AC203" s="55" t="s">
        <v>717</v>
      </c>
      <c r="AD203" s="56" t="s">
        <v>717</v>
      </c>
      <c r="AE203" s="58" t="s">
        <v>717</v>
      </c>
      <c r="AF203" s="59" t="s">
        <v>717</v>
      </c>
      <c r="AG203" s="60" t="s">
        <v>717</v>
      </c>
      <c r="AH203" s="61" t="s">
        <v>717</v>
      </c>
      <c r="AI203" s="64">
        <v>1</v>
      </c>
      <c r="AJ203" s="66"/>
      <c r="AK203" s="22" t="s">
        <v>717</v>
      </c>
      <c r="AL203" s="23"/>
      <c r="AM203" s="23" t="s">
        <v>683</v>
      </c>
    </row>
    <row r="204" spans="1:41" s="3" customFormat="1" ht="14.5" x14ac:dyDescent="0.35">
      <c r="A204" s="24">
        <v>198</v>
      </c>
      <c r="B204" s="11" t="s">
        <v>5</v>
      </c>
      <c r="C204" s="11" t="s">
        <v>500</v>
      </c>
      <c r="D204" s="11">
        <v>110793</v>
      </c>
      <c r="E204" s="11">
        <v>48420</v>
      </c>
      <c r="F204" s="20" t="s">
        <v>560</v>
      </c>
      <c r="G204" s="20" t="s">
        <v>738</v>
      </c>
      <c r="H204" s="6">
        <v>28.308109999999999</v>
      </c>
      <c r="I204" s="6">
        <v>70.122470000000007</v>
      </c>
      <c r="J204" s="12" t="s">
        <v>102</v>
      </c>
      <c r="K204" s="11" t="s">
        <v>91</v>
      </c>
      <c r="L204" s="11" t="s">
        <v>433</v>
      </c>
      <c r="M204" s="11" t="s">
        <v>250</v>
      </c>
      <c r="N204" s="39">
        <f t="shared" si="5"/>
        <v>5</v>
      </c>
      <c r="O204" s="41" t="s">
        <v>593</v>
      </c>
      <c r="P204" s="42">
        <v>0</v>
      </c>
      <c r="Q204" s="43">
        <v>4</v>
      </c>
      <c r="R204" s="44">
        <v>0</v>
      </c>
      <c r="S204" s="46" t="s">
        <v>717</v>
      </c>
      <c r="T204" s="46" t="s">
        <v>717</v>
      </c>
      <c r="U204" s="46" t="s">
        <v>717</v>
      </c>
      <c r="V204" s="46" t="s">
        <v>717</v>
      </c>
      <c r="W204" s="48" t="s">
        <v>717</v>
      </c>
      <c r="X204" s="49" t="s">
        <v>717</v>
      </c>
      <c r="Y204" s="50" t="s">
        <v>717</v>
      </c>
      <c r="Z204" s="51" t="s">
        <v>717</v>
      </c>
      <c r="AA204" s="53" t="s">
        <v>717</v>
      </c>
      <c r="AB204" s="54" t="s">
        <v>717</v>
      </c>
      <c r="AC204" s="55" t="s">
        <v>717</v>
      </c>
      <c r="AD204" s="56" t="s">
        <v>717</v>
      </c>
      <c r="AE204" s="58" t="s">
        <v>717</v>
      </c>
      <c r="AF204" s="59" t="s">
        <v>717</v>
      </c>
      <c r="AG204" s="60" t="s">
        <v>717</v>
      </c>
      <c r="AH204" s="61" t="s">
        <v>717</v>
      </c>
      <c r="AI204" s="64">
        <v>1</v>
      </c>
      <c r="AJ204" s="66"/>
      <c r="AK204" s="36">
        <v>4</v>
      </c>
      <c r="AL204" s="23"/>
      <c r="AM204" s="23" t="s">
        <v>653</v>
      </c>
      <c r="AN204" s="123">
        <f>N204-AK204</f>
        <v>1</v>
      </c>
      <c r="AO204" s="31">
        <f>SUM(P204:R204)-AK204</f>
        <v>0</v>
      </c>
    </row>
    <row r="205" spans="1:41" s="3" customFormat="1" ht="14.5" x14ac:dyDescent="0.35">
      <c r="A205" s="24">
        <v>199</v>
      </c>
      <c r="B205" s="11" t="s">
        <v>5</v>
      </c>
      <c r="C205" s="11" t="s">
        <v>520</v>
      </c>
      <c r="D205" s="11">
        <v>110792</v>
      </c>
      <c r="E205" s="11">
        <v>48421</v>
      </c>
      <c r="F205" s="20" t="s">
        <v>560</v>
      </c>
      <c r="G205" s="20" t="s">
        <v>738</v>
      </c>
      <c r="H205" s="6">
        <v>28.59047</v>
      </c>
      <c r="I205" s="6">
        <v>70.309139999999999</v>
      </c>
      <c r="J205" s="12" t="s">
        <v>91</v>
      </c>
      <c r="K205" s="11" t="s">
        <v>91</v>
      </c>
      <c r="L205" s="11" t="s">
        <v>433</v>
      </c>
      <c r="M205" s="11" t="s">
        <v>287</v>
      </c>
      <c r="N205" s="39">
        <f t="shared" si="5"/>
        <v>4</v>
      </c>
      <c r="O205" s="41" t="s">
        <v>592</v>
      </c>
      <c r="P205" s="42">
        <v>0</v>
      </c>
      <c r="Q205" s="43">
        <v>3</v>
      </c>
      <c r="R205" s="44">
        <v>0</v>
      </c>
      <c r="S205" s="46" t="s">
        <v>717</v>
      </c>
      <c r="T205" s="46" t="s">
        <v>717</v>
      </c>
      <c r="U205" s="46" t="s">
        <v>717</v>
      </c>
      <c r="V205" s="46" t="s">
        <v>717</v>
      </c>
      <c r="W205" s="48" t="s">
        <v>717</v>
      </c>
      <c r="X205" s="49" t="s">
        <v>717</v>
      </c>
      <c r="Y205" s="50" t="s">
        <v>717</v>
      </c>
      <c r="Z205" s="51" t="s">
        <v>717</v>
      </c>
      <c r="AA205" s="53" t="s">
        <v>717</v>
      </c>
      <c r="AB205" s="54" t="s">
        <v>717</v>
      </c>
      <c r="AC205" s="55" t="s">
        <v>717</v>
      </c>
      <c r="AD205" s="56" t="s">
        <v>717</v>
      </c>
      <c r="AE205" s="58" t="s">
        <v>717</v>
      </c>
      <c r="AF205" s="59" t="s">
        <v>717</v>
      </c>
      <c r="AG205" s="60" t="s">
        <v>717</v>
      </c>
      <c r="AH205" s="61" t="s">
        <v>717</v>
      </c>
      <c r="AI205" s="64">
        <v>1</v>
      </c>
      <c r="AJ205" s="66"/>
      <c r="AK205" s="22">
        <v>4</v>
      </c>
      <c r="AL205" s="23"/>
      <c r="AM205" s="23" t="s">
        <v>653</v>
      </c>
      <c r="AN205" s="123">
        <f>N205-AK205</f>
        <v>0</v>
      </c>
    </row>
    <row r="206" spans="1:41" s="3" customFormat="1" ht="14.5" x14ac:dyDescent="0.35">
      <c r="A206" s="24">
        <v>200</v>
      </c>
      <c r="B206" s="11" t="s">
        <v>5</v>
      </c>
      <c r="C206" s="11" t="s">
        <v>499</v>
      </c>
      <c r="D206" s="11">
        <v>110791</v>
      </c>
      <c r="E206" s="11">
        <v>48422</v>
      </c>
      <c r="F206" s="20" t="s">
        <v>560</v>
      </c>
      <c r="G206" s="20" t="s">
        <v>738</v>
      </c>
      <c r="H206" s="6">
        <v>29.264959999999999</v>
      </c>
      <c r="I206" s="6">
        <v>71.479510000000005</v>
      </c>
      <c r="J206" s="12" t="s">
        <v>6</v>
      </c>
      <c r="K206" s="11" t="s">
        <v>6</v>
      </c>
      <c r="L206" s="11" t="s">
        <v>433</v>
      </c>
      <c r="M206" s="11" t="s">
        <v>214</v>
      </c>
      <c r="N206" s="39">
        <f t="shared" si="5"/>
        <v>5</v>
      </c>
      <c r="O206" s="41" t="s">
        <v>610</v>
      </c>
      <c r="P206" s="42">
        <v>0</v>
      </c>
      <c r="Q206" s="43">
        <v>5</v>
      </c>
      <c r="R206" s="44">
        <v>0</v>
      </c>
      <c r="S206" s="46" t="s">
        <v>717</v>
      </c>
      <c r="T206" s="46" t="s">
        <v>717</v>
      </c>
      <c r="U206" s="46" t="s">
        <v>717</v>
      </c>
      <c r="V206" s="46" t="s">
        <v>717</v>
      </c>
      <c r="W206" s="48" t="s">
        <v>717</v>
      </c>
      <c r="X206" s="49" t="s">
        <v>717</v>
      </c>
      <c r="Y206" s="50" t="s">
        <v>717</v>
      </c>
      <c r="Z206" s="51" t="s">
        <v>717</v>
      </c>
      <c r="AA206" s="53" t="s">
        <v>717</v>
      </c>
      <c r="AB206" s="54" t="s">
        <v>717</v>
      </c>
      <c r="AC206" s="55" t="s">
        <v>717</v>
      </c>
      <c r="AD206" s="56" t="s">
        <v>717</v>
      </c>
      <c r="AE206" s="58" t="s">
        <v>717</v>
      </c>
      <c r="AF206" s="59" t="s">
        <v>717</v>
      </c>
      <c r="AG206" s="60" t="s">
        <v>717</v>
      </c>
      <c r="AH206" s="61" t="s">
        <v>717</v>
      </c>
      <c r="AI206" s="64"/>
      <c r="AJ206" s="66"/>
      <c r="AK206" s="22">
        <v>5</v>
      </c>
      <c r="AL206" s="23"/>
      <c r="AM206" s="23"/>
      <c r="AN206" s="123">
        <f>N206-AK206</f>
        <v>0</v>
      </c>
    </row>
    <row r="207" spans="1:41" s="3" customFormat="1" ht="14.5" x14ac:dyDescent="0.35">
      <c r="A207" s="24">
        <v>201</v>
      </c>
      <c r="B207" s="11" t="s">
        <v>5</v>
      </c>
      <c r="C207" s="10" t="s">
        <v>9</v>
      </c>
      <c r="D207" s="10">
        <v>110803</v>
      </c>
      <c r="E207" s="11">
        <v>48423</v>
      </c>
      <c r="F207" s="20" t="s">
        <v>560</v>
      </c>
      <c r="G207" s="20" t="s">
        <v>739</v>
      </c>
      <c r="H207" s="6">
        <v>29.432950000000002</v>
      </c>
      <c r="I207" s="6">
        <v>71.799409999999995</v>
      </c>
      <c r="J207" s="12" t="s">
        <v>6</v>
      </c>
      <c r="K207" s="11" t="s">
        <v>6</v>
      </c>
      <c r="L207" s="11" t="s">
        <v>433</v>
      </c>
      <c r="M207" s="11" t="s">
        <v>147</v>
      </c>
      <c r="N207" s="39">
        <f t="shared" si="5"/>
        <v>3</v>
      </c>
      <c r="O207" s="41" t="s">
        <v>717</v>
      </c>
      <c r="P207" s="42" t="s">
        <v>717</v>
      </c>
      <c r="Q207" s="43" t="s">
        <v>717</v>
      </c>
      <c r="R207" s="44" t="s">
        <v>717</v>
      </c>
      <c r="S207" s="46" t="s">
        <v>717</v>
      </c>
      <c r="T207" s="46" t="s">
        <v>717</v>
      </c>
      <c r="U207" s="46" t="s">
        <v>717</v>
      </c>
      <c r="V207" s="46" t="s">
        <v>717</v>
      </c>
      <c r="W207" s="48" t="s">
        <v>717</v>
      </c>
      <c r="X207" s="49" t="s">
        <v>717</v>
      </c>
      <c r="Y207" s="50" t="s">
        <v>717</v>
      </c>
      <c r="Z207" s="51" t="s">
        <v>717</v>
      </c>
      <c r="AA207" s="53" t="s">
        <v>717</v>
      </c>
      <c r="AB207" s="54" t="s">
        <v>717</v>
      </c>
      <c r="AC207" s="55" t="s">
        <v>717</v>
      </c>
      <c r="AD207" s="56" t="s">
        <v>717</v>
      </c>
      <c r="AE207" s="58" t="s">
        <v>717</v>
      </c>
      <c r="AF207" s="59" t="s">
        <v>717</v>
      </c>
      <c r="AG207" s="60" t="s">
        <v>717</v>
      </c>
      <c r="AH207" s="61" t="s">
        <v>717</v>
      </c>
      <c r="AI207" s="71">
        <v>3</v>
      </c>
      <c r="AJ207" s="66"/>
      <c r="AK207" s="22" t="s">
        <v>717</v>
      </c>
      <c r="AL207" s="23"/>
      <c r="AM207" s="13" t="s">
        <v>625</v>
      </c>
    </row>
    <row r="208" spans="1:41" s="3" customFormat="1" ht="14.5" x14ac:dyDescent="0.35">
      <c r="A208" s="24">
        <v>202</v>
      </c>
      <c r="B208" s="11" t="s">
        <v>5</v>
      </c>
      <c r="C208" s="11" t="s">
        <v>508</v>
      </c>
      <c r="D208" s="11">
        <v>114038</v>
      </c>
      <c r="E208" s="11">
        <v>48424</v>
      </c>
      <c r="F208" s="20" t="s">
        <v>560</v>
      </c>
      <c r="G208" s="20" t="s">
        <v>738</v>
      </c>
      <c r="H208" s="6">
        <v>29.216080000000002</v>
      </c>
      <c r="I208" s="6">
        <v>71.418149999999997</v>
      </c>
      <c r="J208" s="12" t="s">
        <v>6</v>
      </c>
      <c r="K208" s="11" t="s">
        <v>6</v>
      </c>
      <c r="L208" s="11" t="s">
        <v>433</v>
      </c>
      <c r="M208" s="11" t="s">
        <v>215</v>
      </c>
      <c r="N208" s="39">
        <f t="shared" si="5"/>
        <v>4</v>
      </c>
      <c r="O208" s="41" t="s">
        <v>597</v>
      </c>
      <c r="P208" s="42">
        <v>0</v>
      </c>
      <c r="Q208" s="43">
        <v>3</v>
      </c>
      <c r="R208" s="44">
        <v>0</v>
      </c>
      <c r="S208" s="46" t="s">
        <v>717</v>
      </c>
      <c r="T208" s="46" t="s">
        <v>717</v>
      </c>
      <c r="U208" s="46" t="s">
        <v>717</v>
      </c>
      <c r="V208" s="46" t="s">
        <v>717</v>
      </c>
      <c r="W208" s="48" t="s">
        <v>717</v>
      </c>
      <c r="X208" s="49" t="s">
        <v>717</v>
      </c>
      <c r="Y208" s="50" t="s">
        <v>717</v>
      </c>
      <c r="Z208" s="51" t="s">
        <v>717</v>
      </c>
      <c r="AA208" s="53" t="s">
        <v>717</v>
      </c>
      <c r="AB208" s="54" t="s">
        <v>717</v>
      </c>
      <c r="AC208" s="55" t="s">
        <v>717</v>
      </c>
      <c r="AD208" s="56" t="s">
        <v>717</v>
      </c>
      <c r="AE208" s="58" t="s">
        <v>717</v>
      </c>
      <c r="AF208" s="59" t="s">
        <v>717</v>
      </c>
      <c r="AG208" s="60" t="s">
        <v>717</v>
      </c>
      <c r="AH208" s="61" t="s">
        <v>717</v>
      </c>
      <c r="AI208" s="64">
        <v>1</v>
      </c>
      <c r="AJ208" s="66"/>
      <c r="AK208" s="22">
        <v>4</v>
      </c>
      <c r="AL208" s="23"/>
      <c r="AM208" s="23" t="s">
        <v>628</v>
      </c>
      <c r="AN208" s="123">
        <f>N208-AK208</f>
        <v>0</v>
      </c>
    </row>
    <row r="209" spans="1:41" s="3" customFormat="1" ht="14.5" x14ac:dyDescent="0.35">
      <c r="A209" s="24">
        <v>203</v>
      </c>
      <c r="B209" s="11" t="s">
        <v>5</v>
      </c>
      <c r="C209" s="11" t="s">
        <v>523</v>
      </c>
      <c r="D209" s="11">
        <v>117338</v>
      </c>
      <c r="E209" s="11">
        <v>48425</v>
      </c>
      <c r="F209" s="20" t="s">
        <v>560</v>
      </c>
      <c r="G209" s="20" t="s">
        <v>738</v>
      </c>
      <c r="H209" s="6">
        <v>29.140750000000001</v>
      </c>
      <c r="I209" s="6">
        <v>71.225189999999998</v>
      </c>
      <c r="J209" s="12" t="s">
        <v>388</v>
      </c>
      <c r="K209" s="11" t="s">
        <v>6</v>
      </c>
      <c r="L209" s="11" t="s">
        <v>433</v>
      </c>
      <c r="M209" s="11" t="s">
        <v>236</v>
      </c>
      <c r="N209" s="39">
        <f t="shared" si="5"/>
        <v>4</v>
      </c>
      <c r="O209" s="41" t="s">
        <v>717</v>
      </c>
      <c r="P209" s="42" t="s">
        <v>717</v>
      </c>
      <c r="Q209" s="43" t="s">
        <v>717</v>
      </c>
      <c r="R209" s="44" t="s">
        <v>717</v>
      </c>
      <c r="S209" s="46" t="s">
        <v>584</v>
      </c>
      <c r="T209" s="46">
        <v>0</v>
      </c>
      <c r="U209" s="46">
        <v>4</v>
      </c>
      <c r="V209" s="46">
        <v>0</v>
      </c>
      <c r="W209" s="48" t="s">
        <v>717</v>
      </c>
      <c r="X209" s="49" t="s">
        <v>717</v>
      </c>
      <c r="Y209" s="50" t="s">
        <v>717</v>
      </c>
      <c r="Z209" s="51" t="s">
        <v>717</v>
      </c>
      <c r="AA209" s="53" t="s">
        <v>717</v>
      </c>
      <c r="AB209" s="54" t="s">
        <v>717</v>
      </c>
      <c r="AC209" s="55" t="s">
        <v>717</v>
      </c>
      <c r="AD209" s="56" t="s">
        <v>717</v>
      </c>
      <c r="AE209" s="58" t="s">
        <v>717</v>
      </c>
      <c r="AF209" s="59" t="s">
        <v>717</v>
      </c>
      <c r="AG209" s="60" t="s">
        <v>717</v>
      </c>
      <c r="AH209" s="61" t="s">
        <v>717</v>
      </c>
      <c r="AI209" s="64"/>
      <c r="AJ209" s="66"/>
      <c r="AK209" s="22" t="s">
        <v>717</v>
      </c>
      <c r="AL209" s="23"/>
      <c r="AM209" s="23"/>
    </row>
    <row r="210" spans="1:41" s="3" customFormat="1" ht="14.5" x14ac:dyDescent="0.35">
      <c r="A210" s="24">
        <v>204</v>
      </c>
      <c r="B210" s="11" t="s">
        <v>5</v>
      </c>
      <c r="C210" s="33" t="s">
        <v>90</v>
      </c>
      <c r="D210" s="33">
        <v>110848</v>
      </c>
      <c r="E210" s="32">
        <v>48426</v>
      </c>
      <c r="F210" s="20" t="s">
        <v>559</v>
      </c>
      <c r="G210" s="20" t="s">
        <v>739</v>
      </c>
      <c r="H210" s="6">
        <v>28.688459999999999</v>
      </c>
      <c r="I210" s="6">
        <v>70.418610000000001</v>
      </c>
      <c r="J210" s="12" t="s">
        <v>91</v>
      </c>
      <c r="K210" s="11" t="s">
        <v>6</v>
      </c>
      <c r="L210" s="11" t="s">
        <v>433</v>
      </c>
      <c r="M210" s="11" t="s">
        <v>238</v>
      </c>
      <c r="N210" s="39">
        <f t="shared" si="5"/>
        <v>4</v>
      </c>
      <c r="O210" s="41" t="s">
        <v>717</v>
      </c>
      <c r="P210" s="42" t="s">
        <v>717</v>
      </c>
      <c r="Q210" s="43" t="s">
        <v>717</v>
      </c>
      <c r="R210" s="44" t="s">
        <v>717</v>
      </c>
      <c r="S210" s="46" t="s">
        <v>717</v>
      </c>
      <c r="T210" s="46" t="s">
        <v>717</v>
      </c>
      <c r="U210" s="46" t="s">
        <v>717</v>
      </c>
      <c r="V210" s="46" t="s">
        <v>717</v>
      </c>
      <c r="W210" s="48" t="s">
        <v>717</v>
      </c>
      <c r="X210" s="49" t="s">
        <v>717</v>
      </c>
      <c r="Y210" s="50" t="s">
        <v>717</v>
      </c>
      <c r="Z210" s="51" t="s">
        <v>717</v>
      </c>
      <c r="AA210" s="53" t="s">
        <v>717</v>
      </c>
      <c r="AB210" s="54" t="s">
        <v>717</v>
      </c>
      <c r="AC210" s="55" t="s">
        <v>717</v>
      </c>
      <c r="AD210" s="56" t="s">
        <v>717</v>
      </c>
      <c r="AE210" s="58" t="s">
        <v>717</v>
      </c>
      <c r="AF210" s="59" t="s">
        <v>717</v>
      </c>
      <c r="AG210" s="60" t="s">
        <v>717</v>
      </c>
      <c r="AH210" s="61" t="s">
        <v>717</v>
      </c>
      <c r="AI210" s="64">
        <v>4</v>
      </c>
      <c r="AJ210" s="66"/>
      <c r="AK210" s="22" t="s">
        <v>717</v>
      </c>
      <c r="AL210" s="23"/>
      <c r="AM210" s="23" t="s">
        <v>702</v>
      </c>
    </row>
    <row r="211" spans="1:41" s="3" customFormat="1" ht="14.5" x14ac:dyDescent="0.35">
      <c r="A211" s="24">
        <v>205</v>
      </c>
      <c r="B211" s="11" t="s">
        <v>5</v>
      </c>
      <c r="C211" s="11" t="s">
        <v>362</v>
      </c>
      <c r="D211" s="11">
        <v>110857</v>
      </c>
      <c r="E211" s="11">
        <v>48427</v>
      </c>
      <c r="F211" s="20" t="s">
        <v>560</v>
      </c>
      <c r="G211" s="20" t="s">
        <v>738</v>
      </c>
      <c r="H211" s="6">
        <v>28.927289999999999</v>
      </c>
      <c r="I211" s="6">
        <v>70.702119999999994</v>
      </c>
      <c r="J211" s="12" t="s">
        <v>91</v>
      </c>
      <c r="K211" s="11" t="s">
        <v>91</v>
      </c>
      <c r="L211" s="11" t="s">
        <v>433</v>
      </c>
      <c r="M211" s="11" t="s">
        <v>348</v>
      </c>
      <c r="N211" s="39">
        <f t="shared" si="5"/>
        <v>3</v>
      </c>
      <c r="O211" s="41" t="s">
        <v>717</v>
      </c>
      <c r="P211" s="42" t="s">
        <v>717</v>
      </c>
      <c r="Q211" s="43" t="s">
        <v>717</v>
      </c>
      <c r="R211" s="44" t="s">
        <v>717</v>
      </c>
      <c r="S211" s="46" t="s">
        <v>717</v>
      </c>
      <c r="T211" s="46" t="s">
        <v>717</v>
      </c>
      <c r="U211" s="46" t="s">
        <v>717</v>
      </c>
      <c r="V211" s="46" t="s">
        <v>717</v>
      </c>
      <c r="W211" s="48" t="s">
        <v>717</v>
      </c>
      <c r="X211" s="49" t="s">
        <v>717</v>
      </c>
      <c r="Y211" s="50" t="s">
        <v>717</v>
      </c>
      <c r="Z211" s="51" t="s">
        <v>717</v>
      </c>
      <c r="AA211" s="53" t="s">
        <v>578</v>
      </c>
      <c r="AB211" s="54">
        <v>0</v>
      </c>
      <c r="AC211" s="55">
        <v>3</v>
      </c>
      <c r="AD211" s="56">
        <v>0</v>
      </c>
      <c r="AE211" s="58" t="s">
        <v>717</v>
      </c>
      <c r="AF211" s="59" t="s">
        <v>717</v>
      </c>
      <c r="AG211" s="60" t="s">
        <v>717</v>
      </c>
      <c r="AH211" s="61" t="s">
        <v>717</v>
      </c>
      <c r="AI211" s="64"/>
      <c r="AJ211" s="66"/>
      <c r="AK211" s="22" t="s">
        <v>717</v>
      </c>
      <c r="AL211" s="23"/>
      <c r="AM211" s="23"/>
    </row>
    <row r="212" spans="1:41" s="3" customFormat="1" ht="14.5" x14ac:dyDescent="0.35">
      <c r="A212" s="24">
        <v>206</v>
      </c>
      <c r="B212" s="11" t="s">
        <v>5</v>
      </c>
      <c r="C212" s="19" t="s">
        <v>501</v>
      </c>
      <c r="D212" s="10">
        <v>111075</v>
      </c>
      <c r="E212" s="11">
        <v>48429</v>
      </c>
      <c r="F212" s="20" t="s">
        <v>560</v>
      </c>
      <c r="G212" s="20" t="s">
        <v>739</v>
      </c>
      <c r="H212" s="6">
        <v>29.494019999999999</v>
      </c>
      <c r="I212" s="6">
        <v>72.660120000000006</v>
      </c>
      <c r="J212" s="12" t="s">
        <v>6</v>
      </c>
      <c r="K212" s="11" t="s">
        <v>6</v>
      </c>
      <c r="L212" s="11" t="s">
        <v>433</v>
      </c>
      <c r="M212" s="11" t="s">
        <v>148</v>
      </c>
      <c r="N212" s="39">
        <f t="shared" si="5"/>
        <v>3</v>
      </c>
      <c r="O212" s="41" t="s">
        <v>597</v>
      </c>
      <c r="P212" s="42">
        <v>0</v>
      </c>
      <c r="Q212" s="43">
        <v>3</v>
      </c>
      <c r="R212" s="44">
        <v>0</v>
      </c>
      <c r="S212" s="46" t="s">
        <v>717</v>
      </c>
      <c r="T212" s="46" t="s">
        <v>717</v>
      </c>
      <c r="U212" s="46" t="s">
        <v>717</v>
      </c>
      <c r="V212" s="46" t="s">
        <v>717</v>
      </c>
      <c r="W212" s="48" t="s">
        <v>717</v>
      </c>
      <c r="X212" s="49" t="s">
        <v>717</v>
      </c>
      <c r="Y212" s="50" t="s">
        <v>717</v>
      </c>
      <c r="Z212" s="51" t="s">
        <v>717</v>
      </c>
      <c r="AA212" s="53" t="s">
        <v>717</v>
      </c>
      <c r="AB212" s="54" t="s">
        <v>717</v>
      </c>
      <c r="AC212" s="55" t="s">
        <v>717</v>
      </c>
      <c r="AD212" s="56" t="s">
        <v>717</v>
      </c>
      <c r="AE212" s="58" t="s">
        <v>717</v>
      </c>
      <c r="AF212" s="59" t="s">
        <v>717</v>
      </c>
      <c r="AG212" s="60" t="s">
        <v>717</v>
      </c>
      <c r="AH212" s="61" t="s">
        <v>717</v>
      </c>
      <c r="AI212" s="64"/>
      <c r="AJ212" s="66"/>
      <c r="AK212" s="22" t="s">
        <v>717</v>
      </c>
      <c r="AL212" s="23"/>
      <c r="AM212" s="23"/>
    </row>
    <row r="213" spans="1:41" s="3" customFormat="1" ht="14.5" x14ac:dyDescent="0.35">
      <c r="A213" s="24">
        <v>207</v>
      </c>
      <c r="B213" s="11" t="s">
        <v>5</v>
      </c>
      <c r="C213" s="11" t="s">
        <v>420</v>
      </c>
      <c r="D213" s="11">
        <v>117380</v>
      </c>
      <c r="E213" s="11">
        <v>48430</v>
      </c>
      <c r="F213" s="20" t="s">
        <v>560</v>
      </c>
      <c r="G213" s="20" t="s">
        <v>738</v>
      </c>
      <c r="H213" s="6">
        <v>29.10463</v>
      </c>
      <c r="I213" s="6">
        <v>71.485230000000001</v>
      </c>
      <c r="J213" s="12" t="s">
        <v>411</v>
      </c>
      <c r="K213" s="11" t="s">
        <v>306</v>
      </c>
      <c r="L213" s="11" t="s">
        <v>433</v>
      </c>
      <c r="M213" s="11" t="s">
        <v>403</v>
      </c>
      <c r="N213" s="39">
        <f t="shared" si="5"/>
        <v>3</v>
      </c>
      <c r="O213" s="41" t="s">
        <v>717</v>
      </c>
      <c r="P213" s="42" t="s">
        <v>717</v>
      </c>
      <c r="Q213" s="43" t="s">
        <v>717</v>
      </c>
      <c r="R213" s="44" t="s">
        <v>717</v>
      </c>
      <c r="S213" s="46" t="s">
        <v>585</v>
      </c>
      <c r="T213" s="46">
        <v>1</v>
      </c>
      <c r="U213" s="46">
        <v>2</v>
      </c>
      <c r="V213" s="46">
        <v>0</v>
      </c>
      <c r="W213" s="48" t="s">
        <v>717</v>
      </c>
      <c r="X213" s="49" t="s">
        <v>717</v>
      </c>
      <c r="Y213" s="50" t="s">
        <v>717</v>
      </c>
      <c r="Z213" s="51" t="s">
        <v>717</v>
      </c>
      <c r="AA213" s="53" t="s">
        <v>717</v>
      </c>
      <c r="AB213" s="54" t="s">
        <v>717</v>
      </c>
      <c r="AC213" s="55" t="s">
        <v>717</v>
      </c>
      <c r="AD213" s="56" t="s">
        <v>717</v>
      </c>
      <c r="AE213" s="58" t="s">
        <v>717</v>
      </c>
      <c r="AF213" s="59" t="s">
        <v>717</v>
      </c>
      <c r="AG213" s="60" t="s">
        <v>717</v>
      </c>
      <c r="AH213" s="61" t="s">
        <v>717</v>
      </c>
      <c r="AI213" s="64"/>
      <c r="AJ213" s="66"/>
      <c r="AK213" s="22" t="s">
        <v>717</v>
      </c>
      <c r="AL213" s="23"/>
      <c r="AM213" s="23"/>
    </row>
    <row r="214" spans="1:41" s="3" customFormat="1" ht="14.5" x14ac:dyDescent="0.35">
      <c r="A214" s="24">
        <v>208</v>
      </c>
      <c r="B214" s="11" t="s">
        <v>5</v>
      </c>
      <c r="C214" s="19" t="s">
        <v>502</v>
      </c>
      <c r="D214" s="11">
        <v>119783</v>
      </c>
      <c r="E214" s="11">
        <v>48431</v>
      </c>
      <c r="F214" s="20" t="s">
        <v>560</v>
      </c>
      <c r="G214" s="20" t="s">
        <v>738</v>
      </c>
      <c r="H214" s="6">
        <v>29.170639999999999</v>
      </c>
      <c r="I214" s="6">
        <v>71.338160000000002</v>
      </c>
      <c r="J214" s="12" t="s">
        <v>388</v>
      </c>
      <c r="K214" s="11" t="s">
        <v>6</v>
      </c>
      <c r="L214" s="11" t="s">
        <v>433</v>
      </c>
      <c r="M214" s="11" t="s">
        <v>550</v>
      </c>
      <c r="N214" s="39">
        <f t="shared" si="5"/>
        <v>5</v>
      </c>
      <c r="O214" s="41" t="s">
        <v>717</v>
      </c>
      <c r="P214" s="42" t="s">
        <v>717</v>
      </c>
      <c r="Q214" s="43" t="s">
        <v>717</v>
      </c>
      <c r="R214" s="44" t="s">
        <v>717</v>
      </c>
      <c r="S214" s="46" t="s">
        <v>586</v>
      </c>
      <c r="T214" s="46">
        <v>0</v>
      </c>
      <c r="U214" s="46">
        <v>4</v>
      </c>
      <c r="V214" s="46">
        <v>0</v>
      </c>
      <c r="W214" s="48" t="s">
        <v>717</v>
      </c>
      <c r="X214" s="49" t="s">
        <v>717</v>
      </c>
      <c r="Y214" s="50" t="s">
        <v>717</v>
      </c>
      <c r="Z214" s="51" t="s">
        <v>717</v>
      </c>
      <c r="AA214" s="53" t="s">
        <v>717</v>
      </c>
      <c r="AB214" s="54" t="s">
        <v>717</v>
      </c>
      <c r="AC214" s="55" t="s">
        <v>717</v>
      </c>
      <c r="AD214" s="56" t="s">
        <v>717</v>
      </c>
      <c r="AE214" s="58" t="s">
        <v>717</v>
      </c>
      <c r="AF214" s="59" t="s">
        <v>717</v>
      </c>
      <c r="AG214" s="60" t="s">
        <v>717</v>
      </c>
      <c r="AH214" s="61" t="s">
        <v>717</v>
      </c>
      <c r="AI214" s="64">
        <v>1</v>
      </c>
      <c r="AJ214" s="66"/>
      <c r="AK214" s="22" t="s">
        <v>717</v>
      </c>
      <c r="AL214" s="23"/>
      <c r="AM214" s="23" t="s">
        <v>651</v>
      </c>
    </row>
    <row r="215" spans="1:41" s="3" customFormat="1" ht="14.5" x14ac:dyDescent="0.35">
      <c r="A215" s="24">
        <v>209</v>
      </c>
      <c r="B215" s="11" t="s">
        <v>5</v>
      </c>
      <c r="C215" s="11" t="s">
        <v>438</v>
      </c>
      <c r="D215" s="11">
        <v>118692</v>
      </c>
      <c r="E215" s="11">
        <v>48432</v>
      </c>
      <c r="F215" s="20" t="s">
        <v>560</v>
      </c>
      <c r="G215" s="20" t="s">
        <v>738</v>
      </c>
      <c r="H215" s="6">
        <v>29.118770000000001</v>
      </c>
      <c r="I215" s="6">
        <v>70.934780000000003</v>
      </c>
      <c r="J215" s="12" t="s">
        <v>388</v>
      </c>
      <c r="K215" s="11" t="s">
        <v>6</v>
      </c>
      <c r="L215" s="11" t="s">
        <v>433</v>
      </c>
      <c r="M215" s="11" t="s">
        <v>447</v>
      </c>
      <c r="N215" s="39">
        <f t="shared" si="5"/>
        <v>3</v>
      </c>
      <c r="O215" s="41" t="s">
        <v>717</v>
      </c>
      <c r="P215" s="42" t="s">
        <v>717</v>
      </c>
      <c r="Q215" s="43" t="s">
        <v>717</v>
      </c>
      <c r="R215" s="44" t="s">
        <v>717</v>
      </c>
      <c r="S215" s="46" t="s">
        <v>605</v>
      </c>
      <c r="T215" s="46">
        <v>0</v>
      </c>
      <c r="U215" s="46">
        <v>2</v>
      </c>
      <c r="V215" s="46">
        <v>0</v>
      </c>
      <c r="W215" s="48" t="s">
        <v>717</v>
      </c>
      <c r="X215" s="49" t="s">
        <v>717</v>
      </c>
      <c r="Y215" s="50" t="s">
        <v>717</v>
      </c>
      <c r="Z215" s="51" t="s">
        <v>717</v>
      </c>
      <c r="AA215" s="53" t="s">
        <v>717</v>
      </c>
      <c r="AB215" s="54" t="s">
        <v>717</v>
      </c>
      <c r="AC215" s="55" t="s">
        <v>717</v>
      </c>
      <c r="AD215" s="56" t="s">
        <v>717</v>
      </c>
      <c r="AE215" s="58" t="s">
        <v>717</v>
      </c>
      <c r="AF215" s="59" t="s">
        <v>717</v>
      </c>
      <c r="AG215" s="60" t="s">
        <v>717</v>
      </c>
      <c r="AH215" s="61" t="s">
        <v>717</v>
      </c>
      <c r="AI215" s="64">
        <v>1</v>
      </c>
      <c r="AJ215" s="66"/>
      <c r="AK215" s="22" t="s">
        <v>717</v>
      </c>
      <c r="AL215" s="23"/>
      <c r="AM215" s="23" t="s">
        <v>685</v>
      </c>
    </row>
    <row r="216" spans="1:41" s="3" customFormat="1" ht="14.5" x14ac:dyDescent="0.35">
      <c r="A216" s="24">
        <v>210</v>
      </c>
      <c r="B216" s="11" t="s">
        <v>5</v>
      </c>
      <c r="C216" s="19" t="s">
        <v>354</v>
      </c>
      <c r="D216" s="19">
        <v>111276</v>
      </c>
      <c r="E216" s="11">
        <v>48433</v>
      </c>
      <c r="F216" s="20" t="s">
        <v>560</v>
      </c>
      <c r="G216" s="20" t="s">
        <v>738</v>
      </c>
      <c r="H216" s="6">
        <v>29.798649999999999</v>
      </c>
      <c r="I216" s="6">
        <v>72.185980000000001</v>
      </c>
      <c r="J216" s="12" t="s">
        <v>21</v>
      </c>
      <c r="K216" s="11" t="s">
        <v>21</v>
      </c>
      <c r="L216" s="11" t="s">
        <v>433</v>
      </c>
      <c r="M216" s="11" t="s">
        <v>163</v>
      </c>
      <c r="N216" s="39">
        <f t="shared" si="5"/>
        <v>4</v>
      </c>
      <c r="O216" s="41" t="s">
        <v>592</v>
      </c>
      <c r="P216" s="42">
        <v>0</v>
      </c>
      <c r="Q216" s="43">
        <v>3</v>
      </c>
      <c r="R216" s="44">
        <v>0</v>
      </c>
      <c r="S216" s="46" t="s">
        <v>717</v>
      </c>
      <c r="T216" s="46" t="s">
        <v>717</v>
      </c>
      <c r="U216" s="46" t="s">
        <v>717</v>
      </c>
      <c r="V216" s="46" t="s">
        <v>717</v>
      </c>
      <c r="W216" s="48" t="s">
        <v>717</v>
      </c>
      <c r="X216" s="49" t="s">
        <v>717</v>
      </c>
      <c r="Y216" s="50" t="s">
        <v>717</v>
      </c>
      <c r="Z216" s="51" t="s">
        <v>717</v>
      </c>
      <c r="AA216" s="53" t="s">
        <v>717</v>
      </c>
      <c r="AB216" s="54" t="s">
        <v>717</v>
      </c>
      <c r="AC216" s="55" t="s">
        <v>717</v>
      </c>
      <c r="AD216" s="56" t="s">
        <v>717</v>
      </c>
      <c r="AE216" s="58" t="s">
        <v>717</v>
      </c>
      <c r="AF216" s="59" t="s">
        <v>717</v>
      </c>
      <c r="AG216" s="60" t="s">
        <v>717</v>
      </c>
      <c r="AH216" s="61" t="s">
        <v>717</v>
      </c>
      <c r="AI216" s="64">
        <v>1</v>
      </c>
      <c r="AJ216" s="66"/>
      <c r="AK216" s="36">
        <v>3</v>
      </c>
      <c r="AL216" s="23"/>
      <c r="AM216" s="23" t="s">
        <v>679</v>
      </c>
      <c r="AN216" s="123">
        <f>N216-AK216</f>
        <v>1</v>
      </c>
      <c r="AO216" s="31">
        <f>SUM(P216:R216)-AK216</f>
        <v>0</v>
      </c>
    </row>
    <row r="217" spans="1:41" s="3" customFormat="1" ht="14.5" x14ac:dyDescent="0.35">
      <c r="A217" s="24">
        <v>211</v>
      </c>
      <c r="B217" s="11" t="s">
        <v>5</v>
      </c>
      <c r="C217" s="10" t="s">
        <v>85</v>
      </c>
      <c r="D217" s="10">
        <v>111331</v>
      </c>
      <c r="E217" s="11">
        <v>48434</v>
      </c>
      <c r="F217" s="20" t="s">
        <v>560</v>
      </c>
      <c r="G217" s="20" t="s">
        <v>739</v>
      </c>
      <c r="H217" s="6">
        <v>28.643090000000001</v>
      </c>
      <c r="I217" s="6">
        <v>70.368809999999996</v>
      </c>
      <c r="J217" s="12" t="s">
        <v>6</v>
      </c>
      <c r="K217" s="11" t="s">
        <v>91</v>
      </c>
      <c r="L217" s="11" t="s">
        <v>433</v>
      </c>
      <c r="M217" s="11" t="s">
        <v>229</v>
      </c>
      <c r="N217" s="39">
        <f t="shared" si="5"/>
        <v>3</v>
      </c>
      <c r="O217" s="41" t="s">
        <v>717</v>
      </c>
      <c r="P217" s="42" t="s">
        <v>717</v>
      </c>
      <c r="Q217" s="43" t="s">
        <v>717</v>
      </c>
      <c r="R217" s="44" t="s">
        <v>717</v>
      </c>
      <c r="S217" s="46" t="s">
        <v>582</v>
      </c>
      <c r="T217" s="46">
        <v>0</v>
      </c>
      <c r="U217" s="46">
        <v>3</v>
      </c>
      <c r="V217" s="46">
        <v>0</v>
      </c>
      <c r="W217" s="48" t="s">
        <v>717</v>
      </c>
      <c r="X217" s="49" t="s">
        <v>717</v>
      </c>
      <c r="Y217" s="50" t="s">
        <v>717</v>
      </c>
      <c r="Z217" s="51" t="s">
        <v>717</v>
      </c>
      <c r="AA217" s="53" t="s">
        <v>717</v>
      </c>
      <c r="AB217" s="54" t="s">
        <v>717</v>
      </c>
      <c r="AC217" s="55" t="s">
        <v>717</v>
      </c>
      <c r="AD217" s="56" t="s">
        <v>717</v>
      </c>
      <c r="AE217" s="58" t="s">
        <v>717</v>
      </c>
      <c r="AF217" s="59" t="s">
        <v>717</v>
      </c>
      <c r="AG217" s="60" t="s">
        <v>717</v>
      </c>
      <c r="AH217" s="61" t="s">
        <v>717</v>
      </c>
      <c r="AI217" s="64"/>
      <c r="AJ217" s="66"/>
      <c r="AK217" s="22" t="s">
        <v>717</v>
      </c>
      <c r="AL217" s="23"/>
      <c r="AM217" s="23"/>
    </row>
    <row r="218" spans="1:41" s="3" customFormat="1" ht="14.5" x14ac:dyDescent="0.35">
      <c r="A218" s="24">
        <v>212</v>
      </c>
      <c r="B218" s="11" t="s">
        <v>5</v>
      </c>
      <c r="C218" s="12" t="s">
        <v>8</v>
      </c>
      <c r="D218" s="10">
        <v>111751</v>
      </c>
      <c r="E218" s="11">
        <v>48436</v>
      </c>
      <c r="F218" s="20" t="s">
        <v>560</v>
      </c>
      <c r="G218" s="20" t="s">
        <v>739</v>
      </c>
      <c r="H218" s="6">
        <v>29.302890000000001</v>
      </c>
      <c r="I218" s="6">
        <v>71.654229999999998</v>
      </c>
      <c r="J218" s="12" t="s">
        <v>6</v>
      </c>
      <c r="K218" s="11" t="s">
        <v>6</v>
      </c>
      <c r="L218" s="11" t="s">
        <v>433</v>
      </c>
      <c r="M218" s="11" t="s">
        <v>146</v>
      </c>
      <c r="N218" s="39">
        <f t="shared" si="5"/>
        <v>3</v>
      </c>
      <c r="O218" s="41" t="s">
        <v>717</v>
      </c>
      <c r="P218" s="42" t="s">
        <v>717</v>
      </c>
      <c r="Q218" s="43" t="s">
        <v>717</v>
      </c>
      <c r="R218" s="44" t="s">
        <v>717</v>
      </c>
      <c r="S218" s="46" t="s">
        <v>585</v>
      </c>
      <c r="T218" s="46">
        <v>0</v>
      </c>
      <c r="U218" s="46">
        <v>3</v>
      </c>
      <c r="V218" s="46">
        <v>0</v>
      </c>
      <c r="W218" s="48" t="s">
        <v>717</v>
      </c>
      <c r="X218" s="49" t="s">
        <v>717</v>
      </c>
      <c r="Y218" s="50" t="s">
        <v>717</v>
      </c>
      <c r="Z218" s="51" t="s">
        <v>717</v>
      </c>
      <c r="AA218" s="53" t="s">
        <v>717</v>
      </c>
      <c r="AB218" s="54" t="s">
        <v>717</v>
      </c>
      <c r="AC218" s="55" t="s">
        <v>717</v>
      </c>
      <c r="AD218" s="56" t="s">
        <v>717</v>
      </c>
      <c r="AE218" s="58" t="s">
        <v>717</v>
      </c>
      <c r="AF218" s="59" t="s">
        <v>717</v>
      </c>
      <c r="AG218" s="60" t="s">
        <v>717</v>
      </c>
      <c r="AH218" s="61" t="s">
        <v>717</v>
      </c>
      <c r="AI218" s="64"/>
      <c r="AJ218" s="66"/>
      <c r="AK218" s="22" t="s">
        <v>717</v>
      </c>
      <c r="AL218" s="23"/>
      <c r="AM218" s="23"/>
    </row>
    <row r="219" spans="1:41" s="3" customFormat="1" ht="14.5" x14ac:dyDescent="0.35">
      <c r="A219" s="24">
        <v>213</v>
      </c>
      <c r="B219" s="11" t="s">
        <v>5</v>
      </c>
      <c r="C219" s="19" t="s">
        <v>10</v>
      </c>
      <c r="D219" s="10">
        <v>113353</v>
      </c>
      <c r="E219" s="11">
        <v>48437</v>
      </c>
      <c r="F219" s="20" t="s">
        <v>560</v>
      </c>
      <c r="G219" s="20" t="s">
        <v>739</v>
      </c>
      <c r="H219" s="6">
        <v>29.714860000000002</v>
      </c>
      <c r="I219" s="6">
        <v>72.625579999999999</v>
      </c>
      <c r="J219" s="12" t="s">
        <v>6</v>
      </c>
      <c r="K219" s="11" t="s">
        <v>6</v>
      </c>
      <c r="L219" s="11" t="s">
        <v>433</v>
      </c>
      <c r="M219" s="11" t="s">
        <v>11</v>
      </c>
      <c r="N219" s="39">
        <f t="shared" si="5"/>
        <v>3</v>
      </c>
      <c r="O219" s="41" t="s">
        <v>597</v>
      </c>
      <c r="P219" s="42">
        <v>0</v>
      </c>
      <c r="Q219" s="43">
        <v>3</v>
      </c>
      <c r="R219" s="44">
        <v>0</v>
      </c>
      <c r="S219" s="46" t="s">
        <v>717</v>
      </c>
      <c r="T219" s="46" t="s">
        <v>717</v>
      </c>
      <c r="U219" s="46" t="s">
        <v>717</v>
      </c>
      <c r="V219" s="46" t="s">
        <v>717</v>
      </c>
      <c r="W219" s="48" t="s">
        <v>717</v>
      </c>
      <c r="X219" s="49" t="s">
        <v>717</v>
      </c>
      <c r="Y219" s="50" t="s">
        <v>717</v>
      </c>
      <c r="Z219" s="51" t="s">
        <v>717</v>
      </c>
      <c r="AA219" s="53" t="s">
        <v>717</v>
      </c>
      <c r="AB219" s="54" t="s">
        <v>717</v>
      </c>
      <c r="AC219" s="55" t="s">
        <v>717</v>
      </c>
      <c r="AD219" s="56" t="s">
        <v>717</v>
      </c>
      <c r="AE219" s="58" t="s">
        <v>717</v>
      </c>
      <c r="AF219" s="59" t="s">
        <v>717</v>
      </c>
      <c r="AG219" s="60" t="s">
        <v>717</v>
      </c>
      <c r="AH219" s="61" t="s">
        <v>717</v>
      </c>
      <c r="AI219" s="64"/>
      <c r="AJ219" s="66"/>
      <c r="AK219" s="22" t="s">
        <v>717</v>
      </c>
      <c r="AL219" s="23"/>
      <c r="AM219" s="23"/>
    </row>
    <row r="220" spans="1:41" s="3" customFormat="1" ht="14.5" x14ac:dyDescent="0.35">
      <c r="A220" s="24">
        <v>214</v>
      </c>
      <c r="B220" s="11" t="s">
        <v>5</v>
      </c>
      <c r="C220" s="19" t="s">
        <v>404</v>
      </c>
      <c r="D220" s="19">
        <v>113647</v>
      </c>
      <c r="E220" s="11">
        <v>48438</v>
      </c>
      <c r="F220" s="20" t="s">
        <v>560</v>
      </c>
      <c r="G220" s="20" t="s">
        <v>739</v>
      </c>
      <c r="H220" s="6">
        <v>29.894159999999999</v>
      </c>
      <c r="I220" s="6">
        <v>72.339669999999998</v>
      </c>
      <c r="J220" s="12" t="s">
        <v>21</v>
      </c>
      <c r="K220" s="11" t="s">
        <v>6</v>
      </c>
      <c r="L220" s="11" t="s">
        <v>433</v>
      </c>
      <c r="M220" s="11" t="s">
        <v>164</v>
      </c>
      <c r="N220" s="39">
        <f t="shared" si="5"/>
        <v>3</v>
      </c>
      <c r="O220" s="41" t="s">
        <v>592</v>
      </c>
      <c r="P220" s="42">
        <v>0</v>
      </c>
      <c r="Q220" s="43">
        <v>3</v>
      </c>
      <c r="R220" s="44">
        <v>0</v>
      </c>
      <c r="S220" s="46" t="s">
        <v>717</v>
      </c>
      <c r="T220" s="46" t="s">
        <v>717</v>
      </c>
      <c r="U220" s="46" t="s">
        <v>717</v>
      </c>
      <c r="V220" s="46" t="s">
        <v>717</v>
      </c>
      <c r="W220" s="48" t="s">
        <v>717</v>
      </c>
      <c r="X220" s="49" t="s">
        <v>717</v>
      </c>
      <c r="Y220" s="50" t="s">
        <v>717</v>
      </c>
      <c r="Z220" s="51" t="s">
        <v>717</v>
      </c>
      <c r="AA220" s="53" t="s">
        <v>717</v>
      </c>
      <c r="AB220" s="54" t="s">
        <v>717</v>
      </c>
      <c r="AC220" s="55" t="s">
        <v>717</v>
      </c>
      <c r="AD220" s="56" t="s">
        <v>717</v>
      </c>
      <c r="AE220" s="58" t="s">
        <v>717</v>
      </c>
      <c r="AF220" s="59" t="s">
        <v>717</v>
      </c>
      <c r="AG220" s="60" t="s">
        <v>717</v>
      </c>
      <c r="AH220" s="61" t="s">
        <v>717</v>
      </c>
      <c r="AI220" s="64"/>
      <c r="AJ220" s="66"/>
      <c r="AK220" s="22">
        <v>3</v>
      </c>
      <c r="AL220" s="23"/>
      <c r="AM220" s="23"/>
      <c r="AN220" s="123">
        <f>N220-AK220</f>
        <v>0</v>
      </c>
    </row>
    <row r="221" spans="1:41" s="3" customFormat="1" ht="14.5" x14ac:dyDescent="0.35">
      <c r="A221" s="24">
        <v>215</v>
      </c>
      <c r="B221" s="11" t="s">
        <v>5</v>
      </c>
      <c r="C221" s="10" t="s">
        <v>312</v>
      </c>
      <c r="D221" s="10">
        <v>113875</v>
      </c>
      <c r="E221" s="11">
        <v>48439</v>
      </c>
      <c r="F221" s="20" t="s">
        <v>560</v>
      </c>
      <c r="G221" s="20" t="s">
        <v>738</v>
      </c>
      <c r="H221" s="6">
        <v>29.727679999999999</v>
      </c>
      <c r="I221" s="6">
        <v>71.469809999999995</v>
      </c>
      <c r="J221" s="12" t="s">
        <v>6</v>
      </c>
      <c r="K221" s="11" t="s">
        <v>6</v>
      </c>
      <c r="L221" s="11" t="s">
        <v>433</v>
      </c>
      <c r="M221" s="11" t="s">
        <v>313</v>
      </c>
      <c r="N221" s="39">
        <f t="shared" si="5"/>
        <v>3</v>
      </c>
      <c r="O221" s="41" t="s">
        <v>597</v>
      </c>
      <c r="P221" s="42">
        <v>1</v>
      </c>
      <c r="Q221" s="43">
        <v>2</v>
      </c>
      <c r="R221" s="44">
        <v>0</v>
      </c>
      <c r="S221" s="46" t="s">
        <v>717</v>
      </c>
      <c r="T221" s="46" t="s">
        <v>717</v>
      </c>
      <c r="U221" s="46" t="s">
        <v>717</v>
      </c>
      <c r="V221" s="46" t="s">
        <v>717</v>
      </c>
      <c r="W221" s="48" t="s">
        <v>717</v>
      </c>
      <c r="X221" s="49" t="s">
        <v>717</v>
      </c>
      <c r="Y221" s="50" t="s">
        <v>717</v>
      </c>
      <c r="Z221" s="51" t="s">
        <v>717</v>
      </c>
      <c r="AA221" s="53" t="s">
        <v>717</v>
      </c>
      <c r="AB221" s="54" t="s">
        <v>717</v>
      </c>
      <c r="AC221" s="55" t="s">
        <v>717</v>
      </c>
      <c r="AD221" s="56" t="s">
        <v>717</v>
      </c>
      <c r="AE221" s="58" t="s">
        <v>717</v>
      </c>
      <c r="AF221" s="59" t="s">
        <v>717</v>
      </c>
      <c r="AG221" s="60" t="s">
        <v>717</v>
      </c>
      <c r="AH221" s="61" t="s">
        <v>717</v>
      </c>
      <c r="AI221" s="64"/>
      <c r="AJ221" s="66"/>
      <c r="AK221" s="22">
        <v>3</v>
      </c>
      <c r="AL221" s="23"/>
      <c r="AM221" s="23"/>
      <c r="AN221" s="123">
        <f>N221-AK221</f>
        <v>0</v>
      </c>
    </row>
    <row r="222" spans="1:41" s="3" customFormat="1" ht="14.5" x14ac:dyDescent="0.35">
      <c r="A222" s="24">
        <v>216</v>
      </c>
      <c r="B222" s="11" t="s">
        <v>5</v>
      </c>
      <c r="C222" s="19" t="s">
        <v>330</v>
      </c>
      <c r="D222" s="19">
        <v>113967</v>
      </c>
      <c r="E222" s="11">
        <v>48440</v>
      </c>
      <c r="F222" s="20" t="s">
        <v>559</v>
      </c>
      <c r="G222" s="20" t="s">
        <v>739</v>
      </c>
      <c r="H222" s="6">
        <v>28.380230000000001</v>
      </c>
      <c r="I222" s="6">
        <v>70.368729999999999</v>
      </c>
      <c r="J222" s="12" t="s">
        <v>91</v>
      </c>
      <c r="K222" s="11" t="s">
        <v>91</v>
      </c>
      <c r="L222" s="11" t="s">
        <v>433</v>
      </c>
      <c r="M222" s="11" t="s">
        <v>290</v>
      </c>
      <c r="N222" s="39">
        <f t="shared" si="5"/>
        <v>2</v>
      </c>
      <c r="O222" s="41" t="s">
        <v>717</v>
      </c>
      <c r="P222" s="42" t="s">
        <v>717</v>
      </c>
      <c r="Q222" s="43" t="s">
        <v>717</v>
      </c>
      <c r="R222" s="44" t="s">
        <v>717</v>
      </c>
      <c r="S222" s="46" t="s">
        <v>717</v>
      </c>
      <c r="T222" s="46" t="s">
        <v>717</v>
      </c>
      <c r="U222" s="46" t="s">
        <v>717</v>
      </c>
      <c r="V222" s="46" t="s">
        <v>717</v>
      </c>
      <c r="W222" s="48" t="s">
        <v>717</v>
      </c>
      <c r="X222" s="49" t="s">
        <v>717</v>
      </c>
      <c r="Y222" s="50" t="s">
        <v>717</v>
      </c>
      <c r="Z222" s="51" t="s">
        <v>717</v>
      </c>
      <c r="AA222" s="53" t="s">
        <v>717</v>
      </c>
      <c r="AB222" s="54" t="s">
        <v>717</v>
      </c>
      <c r="AC222" s="55" t="s">
        <v>717</v>
      </c>
      <c r="AD222" s="56" t="s">
        <v>717</v>
      </c>
      <c r="AE222" s="58" t="s">
        <v>717</v>
      </c>
      <c r="AF222" s="59" t="s">
        <v>717</v>
      </c>
      <c r="AG222" s="60" t="s">
        <v>717</v>
      </c>
      <c r="AH222" s="61" t="s">
        <v>717</v>
      </c>
      <c r="AI222" s="64">
        <v>2</v>
      </c>
      <c r="AJ222" s="66"/>
      <c r="AK222" s="22" t="s">
        <v>717</v>
      </c>
      <c r="AL222" s="23"/>
      <c r="AM222" s="23" t="s">
        <v>688</v>
      </c>
    </row>
    <row r="223" spans="1:41" s="3" customFormat="1" ht="14.5" x14ac:dyDescent="0.35">
      <c r="A223" s="24">
        <v>217</v>
      </c>
      <c r="B223" s="11" t="s">
        <v>5</v>
      </c>
      <c r="C223" s="19" t="s">
        <v>149</v>
      </c>
      <c r="D223" s="10">
        <v>114130</v>
      </c>
      <c r="E223" s="11">
        <v>48442</v>
      </c>
      <c r="F223" s="20" t="s">
        <v>560</v>
      </c>
      <c r="G223" s="20" t="s">
        <v>738</v>
      </c>
      <c r="H223" s="6">
        <v>29.760719999999999</v>
      </c>
      <c r="I223" s="6">
        <v>72.551929999999999</v>
      </c>
      <c r="J223" s="12" t="s">
        <v>6</v>
      </c>
      <c r="K223" s="11" t="s">
        <v>6</v>
      </c>
      <c r="L223" s="11" t="s">
        <v>433</v>
      </c>
      <c r="M223" s="11" t="s">
        <v>150</v>
      </c>
      <c r="N223" s="39">
        <f t="shared" si="5"/>
        <v>3</v>
      </c>
      <c r="O223" s="41" t="s">
        <v>592</v>
      </c>
      <c r="P223" s="42">
        <v>0</v>
      </c>
      <c r="Q223" s="43">
        <v>3</v>
      </c>
      <c r="R223" s="44">
        <v>0</v>
      </c>
      <c r="S223" s="46" t="s">
        <v>717</v>
      </c>
      <c r="T223" s="46" t="s">
        <v>717</v>
      </c>
      <c r="U223" s="46" t="s">
        <v>717</v>
      </c>
      <c r="V223" s="46" t="s">
        <v>717</v>
      </c>
      <c r="W223" s="48" t="s">
        <v>717</v>
      </c>
      <c r="X223" s="49" t="s">
        <v>717</v>
      </c>
      <c r="Y223" s="50" t="s">
        <v>717</v>
      </c>
      <c r="Z223" s="51" t="s">
        <v>717</v>
      </c>
      <c r="AA223" s="53" t="s">
        <v>717</v>
      </c>
      <c r="AB223" s="54" t="s">
        <v>717</v>
      </c>
      <c r="AC223" s="55" t="s">
        <v>717</v>
      </c>
      <c r="AD223" s="56" t="s">
        <v>717</v>
      </c>
      <c r="AE223" s="58" t="s">
        <v>717</v>
      </c>
      <c r="AF223" s="59" t="s">
        <v>717</v>
      </c>
      <c r="AG223" s="60" t="s">
        <v>717</v>
      </c>
      <c r="AH223" s="61" t="s">
        <v>717</v>
      </c>
      <c r="AI223" s="64"/>
      <c r="AJ223" s="66"/>
      <c r="AK223" s="22" t="s">
        <v>717</v>
      </c>
      <c r="AL223" s="23"/>
      <c r="AM223" s="23"/>
    </row>
    <row r="224" spans="1:41" s="3" customFormat="1" ht="14.5" x14ac:dyDescent="0.35">
      <c r="A224" s="24">
        <v>218</v>
      </c>
      <c r="B224" s="11" t="s">
        <v>5</v>
      </c>
      <c r="C224" s="11" t="s">
        <v>143</v>
      </c>
      <c r="D224" s="11">
        <v>114266</v>
      </c>
      <c r="E224" s="11">
        <v>48443</v>
      </c>
      <c r="F224" s="20" t="s">
        <v>560</v>
      </c>
      <c r="G224" s="20" t="s">
        <v>738</v>
      </c>
      <c r="H224" s="6">
        <v>29.200230000000001</v>
      </c>
      <c r="I224" s="6">
        <v>71.042150000000007</v>
      </c>
      <c r="J224" s="12" t="s">
        <v>6</v>
      </c>
      <c r="K224" s="11" t="s">
        <v>6</v>
      </c>
      <c r="L224" s="11" t="s">
        <v>433</v>
      </c>
      <c r="M224" s="11" t="s">
        <v>144</v>
      </c>
      <c r="N224" s="39">
        <f t="shared" si="5"/>
        <v>4</v>
      </c>
      <c r="O224" s="41" t="s">
        <v>592</v>
      </c>
      <c r="P224" s="42">
        <v>0</v>
      </c>
      <c r="Q224" s="43">
        <v>3</v>
      </c>
      <c r="R224" s="44">
        <v>0</v>
      </c>
      <c r="S224" s="46" t="s">
        <v>717</v>
      </c>
      <c r="T224" s="46" t="s">
        <v>717</v>
      </c>
      <c r="U224" s="46" t="s">
        <v>717</v>
      </c>
      <c r="V224" s="46" t="s">
        <v>717</v>
      </c>
      <c r="W224" s="48" t="s">
        <v>717</v>
      </c>
      <c r="X224" s="49" t="s">
        <v>717</v>
      </c>
      <c r="Y224" s="50" t="s">
        <v>717</v>
      </c>
      <c r="Z224" s="51" t="s">
        <v>717</v>
      </c>
      <c r="AA224" s="53" t="s">
        <v>717</v>
      </c>
      <c r="AB224" s="54" t="s">
        <v>717</v>
      </c>
      <c r="AC224" s="55" t="s">
        <v>717</v>
      </c>
      <c r="AD224" s="56" t="s">
        <v>717</v>
      </c>
      <c r="AE224" s="58" t="s">
        <v>717</v>
      </c>
      <c r="AF224" s="59" t="s">
        <v>717</v>
      </c>
      <c r="AG224" s="60" t="s">
        <v>717</v>
      </c>
      <c r="AH224" s="61" t="s">
        <v>717</v>
      </c>
      <c r="AI224" s="64">
        <v>1</v>
      </c>
      <c r="AJ224" s="66"/>
      <c r="AK224" s="22">
        <v>4</v>
      </c>
      <c r="AL224" s="23"/>
      <c r="AM224" s="23" t="s">
        <v>670</v>
      </c>
      <c r="AN224" s="123">
        <f>N224-AK224</f>
        <v>0</v>
      </c>
    </row>
    <row r="225" spans="1:41" s="3" customFormat="1" ht="14.5" x14ac:dyDescent="0.35">
      <c r="A225" s="24">
        <v>219</v>
      </c>
      <c r="B225" s="11" t="s">
        <v>5</v>
      </c>
      <c r="C225" s="11" t="s">
        <v>316</v>
      </c>
      <c r="D225" s="11">
        <v>119763</v>
      </c>
      <c r="E225" s="11">
        <v>48444</v>
      </c>
      <c r="F225" s="20" t="s">
        <v>560</v>
      </c>
      <c r="G225" s="20" t="s">
        <v>738</v>
      </c>
      <c r="H225" s="6">
        <v>28.31748</v>
      </c>
      <c r="I225" s="6">
        <v>70.101309999999998</v>
      </c>
      <c r="J225" s="12" t="s">
        <v>6</v>
      </c>
      <c r="K225" s="11" t="s">
        <v>91</v>
      </c>
      <c r="L225" s="11" t="s">
        <v>433</v>
      </c>
      <c r="M225" s="11" t="s">
        <v>549</v>
      </c>
      <c r="N225" s="39">
        <f t="shared" si="5"/>
        <v>4</v>
      </c>
      <c r="O225" s="41" t="s">
        <v>717</v>
      </c>
      <c r="P225" s="42" t="s">
        <v>717</v>
      </c>
      <c r="Q225" s="43" t="s">
        <v>717</v>
      </c>
      <c r="R225" s="44" t="s">
        <v>717</v>
      </c>
      <c r="S225" s="46" t="s">
        <v>582</v>
      </c>
      <c r="T225" s="46">
        <v>0</v>
      </c>
      <c r="U225" s="46">
        <v>3</v>
      </c>
      <c r="V225" s="46">
        <v>0</v>
      </c>
      <c r="W225" s="48" t="s">
        <v>717</v>
      </c>
      <c r="X225" s="49" t="s">
        <v>717</v>
      </c>
      <c r="Y225" s="50" t="s">
        <v>717</v>
      </c>
      <c r="Z225" s="51" t="s">
        <v>717</v>
      </c>
      <c r="AA225" s="53" t="s">
        <v>717</v>
      </c>
      <c r="AB225" s="54" t="s">
        <v>717</v>
      </c>
      <c r="AC225" s="55" t="s">
        <v>717</v>
      </c>
      <c r="AD225" s="56" t="s">
        <v>717</v>
      </c>
      <c r="AE225" s="58" t="s">
        <v>717</v>
      </c>
      <c r="AF225" s="59" t="s">
        <v>717</v>
      </c>
      <c r="AG225" s="60" t="s">
        <v>717</v>
      </c>
      <c r="AH225" s="61" t="s">
        <v>717</v>
      </c>
      <c r="AI225" s="64">
        <v>1</v>
      </c>
      <c r="AJ225" s="66"/>
      <c r="AK225" s="22" t="s">
        <v>717</v>
      </c>
      <c r="AL225" s="23"/>
      <c r="AM225" s="23" t="s">
        <v>677</v>
      </c>
    </row>
    <row r="226" spans="1:41" s="3" customFormat="1" ht="14.5" x14ac:dyDescent="0.35">
      <c r="A226" s="24">
        <v>220</v>
      </c>
      <c r="B226" s="11" t="s">
        <v>5</v>
      </c>
      <c r="C226" s="10" t="s">
        <v>145</v>
      </c>
      <c r="D226" s="10">
        <v>114312</v>
      </c>
      <c r="E226" s="11">
        <v>48445</v>
      </c>
      <c r="F226" s="20" t="s">
        <v>560</v>
      </c>
      <c r="G226" s="20" t="s">
        <v>738</v>
      </c>
      <c r="H226" s="6">
        <v>28.431010000000001</v>
      </c>
      <c r="I226" s="6">
        <v>70.255849999999995</v>
      </c>
      <c r="J226" s="12" t="s">
        <v>91</v>
      </c>
      <c r="K226" s="11" t="s">
        <v>6</v>
      </c>
      <c r="L226" s="11" t="s">
        <v>433</v>
      </c>
      <c r="M226" s="11" t="s">
        <v>230</v>
      </c>
      <c r="N226" s="39">
        <f t="shared" si="5"/>
        <v>4</v>
      </c>
      <c r="O226" s="41" t="s">
        <v>592</v>
      </c>
      <c r="P226" s="42">
        <v>0</v>
      </c>
      <c r="Q226" s="43">
        <v>3</v>
      </c>
      <c r="R226" s="44">
        <v>0</v>
      </c>
      <c r="S226" s="46" t="s">
        <v>717</v>
      </c>
      <c r="T226" s="46" t="s">
        <v>717</v>
      </c>
      <c r="U226" s="46" t="s">
        <v>717</v>
      </c>
      <c r="V226" s="46" t="s">
        <v>717</v>
      </c>
      <c r="W226" s="48" t="s">
        <v>717</v>
      </c>
      <c r="X226" s="49" t="s">
        <v>717</v>
      </c>
      <c r="Y226" s="50" t="s">
        <v>717</v>
      </c>
      <c r="Z226" s="51" t="s">
        <v>717</v>
      </c>
      <c r="AA226" s="53" t="s">
        <v>717</v>
      </c>
      <c r="AB226" s="54" t="s">
        <v>717</v>
      </c>
      <c r="AC226" s="55" t="s">
        <v>717</v>
      </c>
      <c r="AD226" s="56" t="s">
        <v>717</v>
      </c>
      <c r="AE226" s="58" t="s">
        <v>717</v>
      </c>
      <c r="AF226" s="59" t="s">
        <v>717</v>
      </c>
      <c r="AG226" s="60" t="s">
        <v>717</v>
      </c>
      <c r="AH226" s="61" t="s">
        <v>717</v>
      </c>
      <c r="AI226" s="64">
        <v>1</v>
      </c>
      <c r="AJ226" s="66"/>
      <c r="AK226" s="22" t="s">
        <v>717</v>
      </c>
      <c r="AL226" s="23"/>
      <c r="AM226" s="23" t="s">
        <v>676</v>
      </c>
    </row>
    <row r="227" spans="1:41" s="3" customFormat="1" ht="14.5" x14ac:dyDescent="0.35">
      <c r="A227" s="24">
        <v>221</v>
      </c>
      <c r="B227" s="11" t="s">
        <v>5</v>
      </c>
      <c r="C227" s="10" t="s">
        <v>510</v>
      </c>
      <c r="D227" s="10">
        <v>117083</v>
      </c>
      <c r="E227" s="11">
        <v>48446</v>
      </c>
      <c r="F227" s="20" t="s">
        <v>560</v>
      </c>
      <c r="G227" s="20" t="s">
        <v>738</v>
      </c>
      <c r="H227" s="6">
        <v>28.811720000000001</v>
      </c>
      <c r="I227" s="6">
        <v>70.548289999999994</v>
      </c>
      <c r="J227" s="12" t="s">
        <v>408</v>
      </c>
      <c r="K227" s="11" t="s">
        <v>6</v>
      </c>
      <c r="L227" s="11" t="s">
        <v>433</v>
      </c>
      <c r="M227" s="11" t="s">
        <v>231</v>
      </c>
      <c r="N227" s="39">
        <f t="shared" si="5"/>
        <v>4</v>
      </c>
      <c r="O227" s="41" t="s">
        <v>592</v>
      </c>
      <c r="P227" s="42">
        <v>0</v>
      </c>
      <c r="Q227" s="43">
        <v>3</v>
      </c>
      <c r="R227" s="44">
        <v>0</v>
      </c>
      <c r="S227" s="46" t="s">
        <v>717</v>
      </c>
      <c r="T227" s="46" t="s">
        <v>717</v>
      </c>
      <c r="U227" s="46" t="s">
        <v>717</v>
      </c>
      <c r="V227" s="46" t="s">
        <v>717</v>
      </c>
      <c r="W227" s="48" t="s">
        <v>717</v>
      </c>
      <c r="X227" s="49" t="s">
        <v>717</v>
      </c>
      <c r="Y227" s="50" t="s">
        <v>717</v>
      </c>
      <c r="Z227" s="51" t="s">
        <v>717</v>
      </c>
      <c r="AA227" s="53" t="s">
        <v>717</v>
      </c>
      <c r="AB227" s="54" t="s">
        <v>717</v>
      </c>
      <c r="AC227" s="55" t="s">
        <v>717</v>
      </c>
      <c r="AD227" s="56" t="s">
        <v>717</v>
      </c>
      <c r="AE227" s="58" t="s">
        <v>717</v>
      </c>
      <c r="AF227" s="59" t="s">
        <v>717</v>
      </c>
      <c r="AG227" s="60" t="s">
        <v>717</v>
      </c>
      <c r="AH227" s="61" t="s">
        <v>717</v>
      </c>
      <c r="AI227" s="64">
        <v>1</v>
      </c>
      <c r="AJ227" s="66"/>
      <c r="AK227" s="22">
        <v>4</v>
      </c>
      <c r="AL227" s="23"/>
      <c r="AM227" s="23" t="s">
        <v>670</v>
      </c>
      <c r="AN227" s="123">
        <f>N227-AK227</f>
        <v>0</v>
      </c>
    </row>
    <row r="228" spans="1:41" s="3" customFormat="1" ht="14.5" x14ac:dyDescent="0.35">
      <c r="A228" s="24">
        <v>222</v>
      </c>
      <c r="B228" s="11" t="s">
        <v>5</v>
      </c>
      <c r="C228" s="11" t="s">
        <v>351</v>
      </c>
      <c r="D228" s="11">
        <v>114444</v>
      </c>
      <c r="E228" s="11">
        <v>48447</v>
      </c>
      <c r="F228" s="20" t="s">
        <v>560</v>
      </c>
      <c r="G228" s="20" t="s">
        <v>738</v>
      </c>
      <c r="H228" s="6">
        <v>28.42736</v>
      </c>
      <c r="I228" s="6">
        <v>70.324349999999995</v>
      </c>
      <c r="J228" s="12" t="s">
        <v>6</v>
      </c>
      <c r="K228" s="11" t="s">
        <v>91</v>
      </c>
      <c r="L228" s="11" t="s">
        <v>433</v>
      </c>
      <c r="M228" s="11" t="s">
        <v>352</v>
      </c>
      <c r="N228" s="39">
        <f t="shared" si="5"/>
        <v>2</v>
      </c>
      <c r="O228" s="41" t="s">
        <v>717</v>
      </c>
      <c r="P228" s="42" t="s">
        <v>717</v>
      </c>
      <c r="Q228" s="43" t="s">
        <v>717</v>
      </c>
      <c r="R228" s="44" t="s">
        <v>717</v>
      </c>
      <c r="S228" s="46" t="s">
        <v>581</v>
      </c>
      <c r="T228" s="46" t="s">
        <v>717</v>
      </c>
      <c r="U228" s="46">
        <v>1</v>
      </c>
      <c r="V228" s="46" t="s">
        <v>717</v>
      </c>
      <c r="W228" s="48" t="s">
        <v>717</v>
      </c>
      <c r="X228" s="49" t="s">
        <v>717</v>
      </c>
      <c r="Y228" s="50" t="s">
        <v>717</v>
      </c>
      <c r="Z228" s="51" t="s">
        <v>717</v>
      </c>
      <c r="AA228" s="53" t="s">
        <v>712</v>
      </c>
      <c r="AB228" s="54" t="s">
        <v>717</v>
      </c>
      <c r="AC228" s="55">
        <v>1</v>
      </c>
      <c r="AD228" s="56" t="s">
        <v>717</v>
      </c>
      <c r="AE228" s="58" t="s">
        <v>717</v>
      </c>
      <c r="AF228" s="59" t="s">
        <v>717</v>
      </c>
      <c r="AG228" s="60" t="s">
        <v>717</v>
      </c>
      <c r="AH228" s="61" t="s">
        <v>717</v>
      </c>
      <c r="AI228" s="64"/>
      <c r="AJ228" s="66"/>
      <c r="AK228" s="22" t="s">
        <v>717</v>
      </c>
      <c r="AL228" s="23"/>
      <c r="AM228" s="23"/>
    </row>
    <row r="229" spans="1:41" s="3" customFormat="1" ht="14.5" x14ac:dyDescent="0.35">
      <c r="A229" s="24">
        <v>223</v>
      </c>
      <c r="B229" s="11" t="s">
        <v>5</v>
      </c>
      <c r="C229" s="11" t="s">
        <v>347</v>
      </c>
      <c r="D229" s="11">
        <v>114445</v>
      </c>
      <c r="E229" s="11">
        <v>48448</v>
      </c>
      <c r="F229" s="20" t="s">
        <v>560</v>
      </c>
      <c r="G229" s="20" t="s">
        <v>738</v>
      </c>
      <c r="H229" s="6">
        <v>28.931407</v>
      </c>
      <c r="I229" s="6">
        <v>70.964626999999993</v>
      </c>
      <c r="J229" s="12" t="s">
        <v>6</v>
      </c>
      <c r="K229" s="11" t="s">
        <v>91</v>
      </c>
      <c r="L229" s="11" t="s">
        <v>433</v>
      </c>
      <c r="M229" s="11" t="s">
        <v>346</v>
      </c>
      <c r="N229" s="39">
        <f t="shared" si="5"/>
        <v>3</v>
      </c>
      <c r="O229" s="41" t="s">
        <v>601</v>
      </c>
      <c r="P229" s="42">
        <v>0</v>
      </c>
      <c r="Q229" s="43">
        <v>3</v>
      </c>
      <c r="R229" s="44">
        <v>0</v>
      </c>
      <c r="S229" s="46" t="s">
        <v>717</v>
      </c>
      <c r="T229" s="46" t="s">
        <v>717</v>
      </c>
      <c r="U229" s="46" t="s">
        <v>717</v>
      </c>
      <c r="V229" s="46" t="s">
        <v>717</v>
      </c>
      <c r="W229" s="48" t="s">
        <v>717</v>
      </c>
      <c r="X229" s="49" t="s">
        <v>717</v>
      </c>
      <c r="Y229" s="50" t="s">
        <v>717</v>
      </c>
      <c r="Z229" s="51" t="s">
        <v>717</v>
      </c>
      <c r="AA229" s="53" t="s">
        <v>717</v>
      </c>
      <c r="AB229" s="54" t="s">
        <v>717</v>
      </c>
      <c r="AC229" s="55" t="s">
        <v>717</v>
      </c>
      <c r="AD229" s="56" t="s">
        <v>717</v>
      </c>
      <c r="AE229" s="58" t="s">
        <v>717</v>
      </c>
      <c r="AF229" s="59" t="s">
        <v>717</v>
      </c>
      <c r="AG229" s="60" t="s">
        <v>717</v>
      </c>
      <c r="AH229" s="61" t="s">
        <v>717</v>
      </c>
      <c r="AI229" s="64"/>
      <c r="AJ229" s="66"/>
      <c r="AK229" s="22">
        <v>3</v>
      </c>
      <c r="AL229" s="23"/>
      <c r="AM229" s="23"/>
      <c r="AN229" s="123">
        <f>N229-AK229</f>
        <v>0</v>
      </c>
    </row>
    <row r="230" spans="1:41" s="3" customFormat="1" ht="14.5" x14ac:dyDescent="0.35">
      <c r="A230" s="24">
        <v>224</v>
      </c>
      <c r="B230" s="11" t="s">
        <v>5</v>
      </c>
      <c r="C230" s="11" t="s">
        <v>377</v>
      </c>
      <c r="D230" s="11">
        <v>114452</v>
      </c>
      <c r="E230" s="11">
        <v>48449</v>
      </c>
      <c r="F230" s="20" t="s">
        <v>560</v>
      </c>
      <c r="G230" s="20" t="s">
        <v>738</v>
      </c>
      <c r="H230" s="6">
        <v>29.831009999999999</v>
      </c>
      <c r="I230" s="6">
        <v>72.130719999999997</v>
      </c>
      <c r="J230" s="12" t="s">
        <v>6</v>
      </c>
      <c r="K230" s="11" t="s">
        <v>6</v>
      </c>
      <c r="L230" s="11" t="s">
        <v>433</v>
      </c>
      <c r="M230" s="11" t="s">
        <v>378</v>
      </c>
      <c r="N230" s="39">
        <f t="shared" si="5"/>
        <v>3</v>
      </c>
      <c r="O230" s="41" t="s">
        <v>717</v>
      </c>
      <c r="P230" s="42" t="s">
        <v>717</v>
      </c>
      <c r="Q230" s="43" t="s">
        <v>717</v>
      </c>
      <c r="R230" s="44" t="s">
        <v>717</v>
      </c>
      <c r="S230" s="46" t="s">
        <v>590</v>
      </c>
      <c r="T230" s="46">
        <v>0</v>
      </c>
      <c r="U230" s="46">
        <v>3</v>
      </c>
      <c r="V230" s="46">
        <v>0</v>
      </c>
      <c r="W230" s="48" t="s">
        <v>717</v>
      </c>
      <c r="X230" s="49" t="s">
        <v>717</v>
      </c>
      <c r="Y230" s="50" t="s">
        <v>717</v>
      </c>
      <c r="Z230" s="51" t="s">
        <v>717</v>
      </c>
      <c r="AA230" s="53" t="s">
        <v>717</v>
      </c>
      <c r="AB230" s="54" t="s">
        <v>717</v>
      </c>
      <c r="AC230" s="55" t="s">
        <v>717</v>
      </c>
      <c r="AD230" s="56" t="s">
        <v>717</v>
      </c>
      <c r="AE230" s="58" t="s">
        <v>717</v>
      </c>
      <c r="AF230" s="59" t="s">
        <v>717</v>
      </c>
      <c r="AG230" s="60" t="s">
        <v>717</v>
      </c>
      <c r="AH230" s="61" t="s">
        <v>717</v>
      </c>
      <c r="AI230" s="64"/>
      <c r="AJ230" s="66"/>
      <c r="AK230" s="22" t="s">
        <v>717</v>
      </c>
      <c r="AL230" s="23"/>
      <c r="AM230" s="23"/>
    </row>
    <row r="231" spans="1:41" s="3" customFormat="1" ht="14.5" x14ac:dyDescent="0.35">
      <c r="A231" s="24">
        <v>225</v>
      </c>
      <c r="B231" s="11" t="s">
        <v>5</v>
      </c>
      <c r="C231" s="11" t="s">
        <v>511</v>
      </c>
      <c r="D231" s="11">
        <v>118022</v>
      </c>
      <c r="E231" s="11">
        <v>48450</v>
      </c>
      <c r="F231" s="20" t="s">
        <v>560</v>
      </c>
      <c r="G231" s="20" t="s">
        <v>738</v>
      </c>
      <c r="H231" s="6">
        <v>29.143180439999998</v>
      </c>
      <c r="I231" s="6">
        <v>71.28040034</v>
      </c>
      <c r="J231" s="12" t="s">
        <v>388</v>
      </c>
      <c r="K231" s="11" t="s">
        <v>6</v>
      </c>
      <c r="L231" s="11" t="s">
        <v>433</v>
      </c>
      <c r="M231" s="11" t="s">
        <v>432</v>
      </c>
      <c r="N231" s="39">
        <f t="shared" si="5"/>
        <v>3</v>
      </c>
      <c r="O231" s="41" t="s">
        <v>597</v>
      </c>
      <c r="P231" s="42">
        <v>0</v>
      </c>
      <c r="Q231" s="43">
        <v>3</v>
      </c>
      <c r="R231" s="44">
        <v>0</v>
      </c>
      <c r="S231" s="46" t="s">
        <v>717</v>
      </c>
      <c r="T231" s="46" t="s">
        <v>717</v>
      </c>
      <c r="U231" s="46" t="s">
        <v>717</v>
      </c>
      <c r="V231" s="46" t="s">
        <v>717</v>
      </c>
      <c r="W231" s="48" t="s">
        <v>717</v>
      </c>
      <c r="X231" s="49" t="s">
        <v>717</v>
      </c>
      <c r="Y231" s="50" t="s">
        <v>717</v>
      </c>
      <c r="Z231" s="51" t="s">
        <v>717</v>
      </c>
      <c r="AA231" s="53" t="s">
        <v>717</v>
      </c>
      <c r="AB231" s="54" t="s">
        <v>717</v>
      </c>
      <c r="AC231" s="55" t="s">
        <v>717</v>
      </c>
      <c r="AD231" s="56" t="s">
        <v>717</v>
      </c>
      <c r="AE231" s="58" t="s">
        <v>717</v>
      </c>
      <c r="AF231" s="59" t="s">
        <v>717</v>
      </c>
      <c r="AG231" s="60" t="s">
        <v>717</v>
      </c>
      <c r="AH231" s="61" t="s">
        <v>717</v>
      </c>
      <c r="AI231" s="64"/>
      <c r="AJ231" s="66"/>
      <c r="AK231" s="22">
        <v>3</v>
      </c>
      <c r="AL231" s="23"/>
      <c r="AM231" s="23"/>
      <c r="AN231" s="123">
        <f>N231-AK231</f>
        <v>0</v>
      </c>
    </row>
    <row r="232" spans="1:41" s="3" customFormat="1" ht="14.5" x14ac:dyDescent="0.35">
      <c r="A232" s="24">
        <v>226</v>
      </c>
      <c r="B232" s="11" t="s">
        <v>5</v>
      </c>
      <c r="C232" s="11" t="s">
        <v>337</v>
      </c>
      <c r="D232" s="11">
        <v>114455</v>
      </c>
      <c r="E232" s="11">
        <v>48451</v>
      </c>
      <c r="F232" s="20" t="s">
        <v>560</v>
      </c>
      <c r="G232" s="20" t="s">
        <v>738</v>
      </c>
      <c r="H232" s="6">
        <v>29.14791</v>
      </c>
      <c r="I232" s="6">
        <v>71.256810000000002</v>
      </c>
      <c r="J232" s="12" t="s">
        <v>6</v>
      </c>
      <c r="K232" s="11" t="s">
        <v>6</v>
      </c>
      <c r="L232" s="11" t="s">
        <v>433</v>
      </c>
      <c r="M232" s="11" t="s">
        <v>338</v>
      </c>
      <c r="N232" s="39">
        <f t="shared" si="5"/>
        <v>3</v>
      </c>
      <c r="O232" s="41" t="s">
        <v>717</v>
      </c>
      <c r="P232" s="42" t="s">
        <v>717</v>
      </c>
      <c r="Q232" s="43" t="s">
        <v>717</v>
      </c>
      <c r="R232" s="44" t="s">
        <v>717</v>
      </c>
      <c r="S232" s="46" t="s">
        <v>590</v>
      </c>
      <c r="T232" s="46">
        <v>0</v>
      </c>
      <c r="U232" s="46">
        <v>3</v>
      </c>
      <c r="V232" s="46">
        <v>0</v>
      </c>
      <c r="W232" s="48" t="s">
        <v>717</v>
      </c>
      <c r="X232" s="49" t="s">
        <v>717</v>
      </c>
      <c r="Y232" s="50" t="s">
        <v>717</v>
      </c>
      <c r="Z232" s="51" t="s">
        <v>717</v>
      </c>
      <c r="AA232" s="53" t="s">
        <v>717</v>
      </c>
      <c r="AB232" s="54" t="s">
        <v>717</v>
      </c>
      <c r="AC232" s="55" t="s">
        <v>717</v>
      </c>
      <c r="AD232" s="56" t="s">
        <v>717</v>
      </c>
      <c r="AE232" s="58" t="s">
        <v>717</v>
      </c>
      <c r="AF232" s="59" t="s">
        <v>717</v>
      </c>
      <c r="AG232" s="60" t="s">
        <v>717</v>
      </c>
      <c r="AH232" s="61" t="s">
        <v>717</v>
      </c>
      <c r="AI232" s="64"/>
      <c r="AJ232" s="66"/>
      <c r="AK232" s="22" t="s">
        <v>717</v>
      </c>
      <c r="AL232" s="23"/>
      <c r="AM232" s="23"/>
    </row>
    <row r="233" spans="1:41" s="3" customFormat="1" ht="14.5" x14ac:dyDescent="0.35">
      <c r="A233" s="24">
        <v>227</v>
      </c>
      <c r="B233" s="11" t="s">
        <v>5</v>
      </c>
      <c r="C233" s="11" t="s">
        <v>317</v>
      </c>
      <c r="D233" s="11">
        <v>114469</v>
      </c>
      <c r="E233" s="11">
        <v>48452</v>
      </c>
      <c r="F233" s="20" t="s">
        <v>560</v>
      </c>
      <c r="G233" s="20" t="s">
        <v>738</v>
      </c>
      <c r="H233" s="6">
        <v>28.285039999999999</v>
      </c>
      <c r="I233" s="6">
        <v>70.140550000000005</v>
      </c>
      <c r="J233" s="12" t="s">
        <v>91</v>
      </c>
      <c r="K233" s="11" t="s">
        <v>91</v>
      </c>
      <c r="L233" s="11" t="s">
        <v>433</v>
      </c>
      <c r="M233" s="11" t="s">
        <v>318</v>
      </c>
      <c r="N233" s="39">
        <f t="shared" si="5"/>
        <v>3</v>
      </c>
      <c r="O233" s="41" t="s">
        <v>717</v>
      </c>
      <c r="P233" s="42" t="s">
        <v>717</v>
      </c>
      <c r="Q233" s="43" t="s">
        <v>717</v>
      </c>
      <c r="R233" s="44" t="s">
        <v>717</v>
      </c>
      <c r="S233" s="46" t="s">
        <v>582</v>
      </c>
      <c r="T233" s="46">
        <v>1</v>
      </c>
      <c r="U233" s="46">
        <v>2</v>
      </c>
      <c r="V233" s="46">
        <v>0</v>
      </c>
      <c r="W233" s="48" t="s">
        <v>717</v>
      </c>
      <c r="X233" s="49" t="s">
        <v>717</v>
      </c>
      <c r="Y233" s="50" t="s">
        <v>717</v>
      </c>
      <c r="Z233" s="51" t="s">
        <v>717</v>
      </c>
      <c r="AA233" s="53" t="s">
        <v>717</v>
      </c>
      <c r="AB233" s="54" t="s">
        <v>717</v>
      </c>
      <c r="AC233" s="55" t="s">
        <v>717</v>
      </c>
      <c r="AD233" s="56" t="s">
        <v>717</v>
      </c>
      <c r="AE233" s="58" t="s">
        <v>717</v>
      </c>
      <c r="AF233" s="59" t="s">
        <v>717</v>
      </c>
      <c r="AG233" s="60" t="s">
        <v>717</v>
      </c>
      <c r="AH233" s="61" t="s">
        <v>717</v>
      </c>
      <c r="AI233" s="64"/>
      <c r="AJ233" s="66"/>
      <c r="AK233" s="22" t="s">
        <v>717</v>
      </c>
      <c r="AL233" s="23"/>
      <c r="AM233" s="23"/>
    </row>
    <row r="234" spans="1:41" s="3" customFormat="1" ht="14.5" x14ac:dyDescent="0.35">
      <c r="A234" s="24">
        <v>228</v>
      </c>
      <c r="B234" s="11" t="s">
        <v>5</v>
      </c>
      <c r="C234" s="11" t="s">
        <v>512</v>
      </c>
      <c r="D234" s="11">
        <v>114581</v>
      </c>
      <c r="E234" s="11">
        <v>48453</v>
      </c>
      <c r="F234" s="20" t="s">
        <v>560</v>
      </c>
      <c r="G234" s="20" t="s">
        <v>738</v>
      </c>
      <c r="H234" s="6">
        <v>29.16066</v>
      </c>
      <c r="I234" s="6">
        <v>70.992220000000003</v>
      </c>
      <c r="J234" s="12" t="s">
        <v>6</v>
      </c>
      <c r="K234" s="11" t="s">
        <v>6</v>
      </c>
      <c r="L234" s="11" t="s">
        <v>433</v>
      </c>
      <c r="M234" s="11" t="s">
        <v>332</v>
      </c>
      <c r="N234" s="39">
        <f t="shared" si="5"/>
        <v>4</v>
      </c>
      <c r="O234" s="41" t="s">
        <v>717</v>
      </c>
      <c r="P234" s="42" t="s">
        <v>717</v>
      </c>
      <c r="Q234" s="43" t="s">
        <v>717</v>
      </c>
      <c r="R234" s="44" t="s">
        <v>717</v>
      </c>
      <c r="S234" s="46" t="s">
        <v>582</v>
      </c>
      <c r="T234" s="46">
        <v>1</v>
      </c>
      <c r="U234" s="46">
        <v>2</v>
      </c>
      <c r="V234" s="46">
        <v>0</v>
      </c>
      <c r="W234" s="48" t="s">
        <v>717</v>
      </c>
      <c r="X234" s="49" t="s">
        <v>717</v>
      </c>
      <c r="Y234" s="50" t="s">
        <v>717</v>
      </c>
      <c r="Z234" s="51" t="s">
        <v>717</v>
      </c>
      <c r="AA234" s="53" t="s">
        <v>717</v>
      </c>
      <c r="AB234" s="54" t="s">
        <v>717</v>
      </c>
      <c r="AC234" s="55" t="s">
        <v>717</v>
      </c>
      <c r="AD234" s="56" t="s">
        <v>717</v>
      </c>
      <c r="AE234" s="58" t="s">
        <v>717</v>
      </c>
      <c r="AF234" s="59" t="s">
        <v>717</v>
      </c>
      <c r="AG234" s="60" t="s">
        <v>717</v>
      </c>
      <c r="AH234" s="61" t="s">
        <v>717</v>
      </c>
      <c r="AI234" s="64">
        <v>1</v>
      </c>
      <c r="AJ234" s="66"/>
      <c r="AK234" s="22" t="s">
        <v>717</v>
      </c>
      <c r="AL234" s="23"/>
      <c r="AM234" s="23" t="s">
        <v>670</v>
      </c>
    </row>
    <row r="235" spans="1:41" s="3" customFormat="1" ht="14.5" x14ac:dyDescent="0.35">
      <c r="A235" s="24">
        <v>229</v>
      </c>
      <c r="B235" s="11" t="s">
        <v>5</v>
      </c>
      <c r="C235" s="11" t="s">
        <v>333</v>
      </c>
      <c r="D235" s="11">
        <v>114582</v>
      </c>
      <c r="E235" s="11">
        <v>48454</v>
      </c>
      <c r="F235" s="20" t="s">
        <v>560</v>
      </c>
      <c r="G235" s="20" t="s">
        <v>738</v>
      </c>
      <c r="H235" s="6">
        <v>28.661370000000002</v>
      </c>
      <c r="I235" s="6">
        <v>70.638509999999997</v>
      </c>
      <c r="J235" s="12" t="s">
        <v>6</v>
      </c>
      <c r="K235" s="11" t="s">
        <v>91</v>
      </c>
      <c r="L235" s="11" t="s">
        <v>433</v>
      </c>
      <c r="M235" s="11" t="s">
        <v>334</v>
      </c>
      <c r="N235" s="39">
        <f t="shared" si="5"/>
        <v>3</v>
      </c>
      <c r="O235" s="41" t="s">
        <v>717</v>
      </c>
      <c r="P235" s="42" t="s">
        <v>717</v>
      </c>
      <c r="Q235" s="43" t="s">
        <v>717</v>
      </c>
      <c r="R235" s="44" t="s">
        <v>717</v>
      </c>
      <c r="S235" s="46" t="s">
        <v>582</v>
      </c>
      <c r="T235" s="46">
        <v>0</v>
      </c>
      <c r="U235" s="46">
        <v>3</v>
      </c>
      <c r="V235" s="46">
        <v>0</v>
      </c>
      <c r="W235" s="48" t="s">
        <v>717</v>
      </c>
      <c r="X235" s="49" t="s">
        <v>717</v>
      </c>
      <c r="Y235" s="50" t="s">
        <v>717</v>
      </c>
      <c r="Z235" s="51" t="s">
        <v>717</v>
      </c>
      <c r="AA235" s="53" t="s">
        <v>717</v>
      </c>
      <c r="AB235" s="54" t="s">
        <v>717</v>
      </c>
      <c r="AC235" s="55" t="s">
        <v>717</v>
      </c>
      <c r="AD235" s="56" t="s">
        <v>717</v>
      </c>
      <c r="AE235" s="58" t="s">
        <v>717</v>
      </c>
      <c r="AF235" s="59" t="s">
        <v>717</v>
      </c>
      <c r="AG235" s="60" t="s">
        <v>717</v>
      </c>
      <c r="AH235" s="61" t="s">
        <v>717</v>
      </c>
      <c r="AI235" s="64"/>
      <c r="AJ235" s="66"/>
      <c r="AK235" s="22" t="s">
        <v>717</v>
      </c>
      <c r="AL235" s="23"/>
      <c r="AM235" s="23"/>
    </row>
    <row r="236" spans="1:41" s="3" customFormat="1" ht="14.5" x14ac:dyDescent="0.35">
      <c r="A236" s="24">
        <v>230</v>
      </c>
      <c r="B236" s="11" t="s">
        <v>5</v>
      </c>
      <c r="C236" s="10" t="s">
        <v>326</v>
      </c>
      <c r="D236" s="10">
        <v>114587</v>
      </c>
      <c r="E236" s="11">
        <v>48455</v>
      </c>
      <c r="F236" s="20" t="s">
        <v>560</v>
      </c>
      <c r="G236" s="20" t="s">
        <v>738</v>
      </c>
      <c r="H236" s="6">
        <v>28.54391</v>
      </c>
      <c r="I236" s="6">
        <v>70.464730000000003</v>
      </c>
      <c r="J236" s="12" t="s">
        <v>6</v>
      </c>
      <c r="K236" s="11" t="s">
        <v>6</v>
      </c>
      <c r="L236" s="11" t="s">
        <v>433</v>
      </c>
      <c r="M236" s="11" t="s">
        <v>327</v>
      </c>
      <c r="N236" s="39">
        <f t="shared" si="5"/>
        <v>3</v>
      </c>
      <c r="O236" s="41" t="s">
        <v>717</v>
      </c>
      <c r="P236" s="42" t="s">
        <v>717</v>
      </c>
      <c r="Q236" s="43" t="s">
        <v>717</v>
      </c>
      <c r="R236" s="44" t="s">
        <v>717</v>
      </c>
      <c r="S236" s="46" t="s">
        <v>582</v>
      </c>
      <c r="T236" s="46">
        <v>0</v>
      </c>
      <c r="U236" s="46">
        <v>3</v>
      </c>
      <c r="V236" s="46">
        <v>0</v>
      </c>
      <c r="W236" s="48" t="s">
        <v>717</v>
      </c>
      <c r="X236" s="49" t="s">
        <v>717</v>
      </c>
      <c r="Y236" s="50" t="s">
        <v>717</v>
      </c>
      <c r="Z236" s="51" t="s">
        <v>717</v>
      </c>
      <c r="AA236" s="53" t="s">
        <v>717</v>
      </c>
      <c r="AB236" s="54" t="s">
        <v>717</v>
      </c>
      <c r="AC236" s="55" t="s">
        <v>717</v>
      </c>
      <c r="AD236" s="56" t="s">
        <v>717</v>
      </c>
      <c r="AE236" s="58" t="s">
        <v>717</v>
      </c>
      <c r="AF236" s="59" t="s">
        <v>717</v>
      </c>
      <c r="AG236" s="60" t="s">
        <v>717</v>
      </c>
      <c r="AH236" s="61" t="s">
        <v>717</v>
      </c>
      <c r="AI236" s="64"/>
      <c r="AJ236" s="66"/>
      <c r="AK236" s="22">
        <v>3</v>
      </c>
      <c r="AL236" s="23"/>
      <c r="AM236" s="23"/>
      <c r="AN236" s="123">
        <f>N236-AK236</f>
        <v>0</v>
      </c>
    </row>
    <row r="237" spans="1:41" s="3" customFormat="1" ht="14.5" x14ac:dyDescent="0.35">
      <c r="A237" s="24">
        <v>231</v>
      </c>
      <c r="B237" s="11" t="s">
        <v>5</v>
      </c>
      <c r="C237" s="10" t="s">
        <v>324</v>
      </c>
      <c r="D237" s="10">
        <v>114687</v>
      </c>
      <c r="E237" s="11">
        <v>48456</v>
      </c>
      <c r="F237" s="20" t="s">
        <v>560</v>
      </c>
      <c r="G237" s="20" t="s">
        <v>738</v>
      </c>
      <c r="H237" s="6">
        <v>29.458369999999999</v>
      </c>
      <c r="I237" s="6">
        <v>71.641859999999994</v>
      </c>
      <c r="J237" s="12" t="s">
        <v>14</v>
      </c>
      <c r="K237" s="11" t="s">
        <v>6</v>
      </c>
      <c r="L237" s="11" t="s">
        <v>433</v>
      </c>
      <c r="M237" s="11" t="s">
        <v>325</v>
      </c>
      <c r="N237" s="39">
        <f t="shared" si="5"/>
        <v>4</v>
      </c>
      <c r="O237" s="41" t="s">
        <v>592</v>
      </c>
      <c r="P237" s="42">
        <v>0</v>
      </c>
      <c r="Q237" s="43">
        <v>2</v>
      </c>
      <c r="R237" s="44">
        <v>1</v>
      </c>
      <c r="S237" s="46" t="s">
        <v>717</v>
      </c>
      <c r="T237" s="46" t="s">
        <v>717</v>
      </c>
      <c r="U237" s="46" t="s">
        <v>717</v>
      </c>
      <c r="V237" s="46" t="s">
        <v>717</v>
      </c>
      <c r="W237" s="48" t="s">
        <v>717</v>
      </c>
      <c r="X237" s="49" t="s">
        <v>717</v>
      </c>
      <c r="Y237" s="50" t="s">
        <v>717</v>
      </c>
      <c r="Z237" s="51" t="s">
        <v>717</v>
      </c>
      <c r="AA237" s="53" t="s">
        <v>717</v>
      </c>
      <c r="AB237" s="54" t="s">
        <v>717</v>
      </c>
      <c r="AC237" s="55" t="s">
        <v>717</v>
      </c>
      <c r="AD237" s="56" t="s">
        <v>717</v>
      </c>
      <c r="AE237" s="58" t="s">
        <v>717</v>
      </c>
      <c r="AF237" s="59" t="s">
        <v>717</v>
      </c>
      <c r="AG237" s="60" t="s">
        <v>717</v>
      </c>
      <c r="AH237" s="61" t="s">
        <v>717</v>
      </c>
      <c r="AI237" s="64">
        <v>1</v>
      </c>
      <c r="AJ237" s="66"/>
      <c r="AK237" s="36">
        <v>3</v>
      </c>
      <c r="AL237" s="23"/>
      <c r="AM237" s="23" t="s">
        <v>680</v>
      </c>
      <c r="AN237" s="123">
        <f>N237-AK237</f>
        <v>1</v>
      </c>
      <c r="AO237" s="31">
        <f>SUM(P237:R237)-AK237</f>
        <v>0</v>
      </c>
    </row>
    <row r="238" spans="1:41" s="3" customFormat="1" ht="14.5" x14ac:dyDescent="0.35">
      <c r="A238" s="24">
        <v>232</v>
      </c>
      <c r="B238" s="11" t="s">
        <v>5</v>
      </c>
      <c r="C238" s="10" t="s">
        <v>322</v>
      </c>
      <c r="D238" s="10">
        <v>114686</v>
      </c>
      <c r="E238" s="11">
        <v>48457</v>
      </c>
      <c r="F238" s="20" t="s">
        <v>560</v>
      </c>
      <c r="G238" s="20" t="s">
        <v>738</v>
      </c>
      <c r="H238" s="6">
        <v>29.469639999999998</v>
      </c>
      <c r="I238" s="6">
        <v>71.452709999999996</v>
      </c>
      <c r="J238" s="12" t="s">
        <v>14</v>
      </c>
      <c r="K238" s="11" t="s">
        <v>14</v>
      </c>
      <c r="L238" s="11" t="s">
        <v>433</v>
      </c>
      <c r="M238" s="11" t="s">
        <v>323</v>
      </c>
      <c r="N238" s="39">
        <f t="shared" si="5"/>
        <v>3</v>
      </c>
      <c r="O238" s="41" t="s">
        <v>606</v>
      </c>
      <c r="P238" s="42" t="s">
        <v>717</v>
      </c>
      <c r="Q238" s="43">
        <v>2</v>
      </c>
      <c r="R238" s="44" t="s">
        <v>717</v>
      </c>
      <c r="S238" s="46" t="s">
        <v>587</v>
      </c>
      <c r="T238" s="46" t="s">
        <v>717</v>
      </c>
      <c r="U238" s="46">
        <v>1</v>
      </c>
      <c r="V238" s="46" t="s">
        <v>717</v>
      </c>
      <c r="W238" s="48" t="s">
        <v>717</v>
      </c>
      <c r="X238" s="49" t="s">
        <v>717</v>
      </c>
      <c r="Y238" s="50" t="s">
        <v>717</v>
      </c>
      <c r="Z238" s="51" t="s">
        <v>717</v>
      </c>
      <c r="AA238" s="53" t="s">
        <v>717</v>
      </c>
      <c r="AB238" s="54" t="s">
        <v>717</v>
      </c>
      <c r="AC238" s="55" t="s">
        <v>717</v>
      </c>
      <c r="AD238" s="56" t="s">
        <v>717</v>
      </c>
      <c r="AE238" s="58" t="s">
        <v>717</v>
      </c>
      <c r="AF238" s="59" t="s">
        <v>717</v>
      </c>
      <c r="AG238" s="60" t="s">
        <v>717</v>
      </c>
      <c r="AH238" s="61" t="s">
        <v>717</v>
      </c>
      <c r="AI238" s="64"/>
      <c r="AJ238" s="66"/>
      <c r="AK238" s="22" t="s">
        <v>717</v>
      </c>
      <c r="AL238" s="23"/>
      <c r="AM238" s="23"/>
    </row>
    <row r="239" spans="1:41" s="3" customFormat="1" ht="14.5" x14ac:dyDescent="0.35">
      <c r="A239" s="24">
        <v>233</v>
      </c>
      <c r="B239" s="11" t="s">
        <v>5</v>
      </c>
      <c r="C239" s="11" t="s">
        <v>339</v>
      </c>
      <c r="D239" s="11">
        <v>114963</v>
      </c>
      <c r="E239" s="11">
        <v>48458</v>
      </c>
      <c r="F239" s="20" t="s">
        <v>560</v>
      </c>
      <c r="G239" s="20" t="s">
        <v>738</v>
      </c>
      <c r="H239" s="6">
        <v>28.299939999999999</v>
      </c>
      <c r="I239" s="6">
        <v>70.099630000000005</v>
      </c>
      <c r="J239" s="12" t="s">
        <v>102</v>
      </c>
      <c r="K239" s="11" t="s">
        <v>91</v>
      </c>
      <c r="L239" s="11" t="s">
        <v>433</v>
      </c>
      <c r="M239" s="11" t="s">
        <v>340</v>
      </c>
      <c r="N239" s="39">
        <f t="shared" si="5"/>
        <v>4</v>
      </c>
      <c r="O239" s="41" t="s">
        <v>717</v>
      </c>
      <c r="P239" s="42" t="s">
        <v>717</v>
      </c>
      <c r="Q239" s="43" t="s">
        <v>717</v>
      </c>
      <c r="R239" s="44" t="s">
        <v>717</v>
      </c>
      <c r="S239" s="46" t="s">
        <v>586</v>
      </c>
      <c r="T239" s="46">
        <v>0</v>
      </c>
      <c r="U239" s="46">
        <v>4</v>
      </c>
      <c r="V239" s="46">
        <v>0</v>
      </c>
      <c r="W239" s="48" t="s">
        <v>717</v>
      </c>
      <c r="X239" s="49" t="s">
        <v>717</v>
      </c>
      <c r="Y239" s="50" t="s">
        <v>717</v>
      </c>
      <c r="Z239" s="51" t="s">
        <v>717</v>
      </c>
      <c r="AA239" s="53" t="s">
        <v>717</v>
      </c>
      <c r="AB239" s="54" t="s">
        <v>717</v>
      </c>
      <c r="AC239" s="55" t="s">
        <v>717</v>
      </c>
      <c r="AD239" s="56" t="s">
        <v>717</v>
      </c>
      <c r="AE239" s="58" t="s">
        <v>717</v>
      </c>
      <c r="AF239" s="59" t="s">
        <v>717</v>
      </c>
      <c r="AG239" s="60" t="s">
        <v>717</v>
      </c>
      <c r="AH239" s="61" t="s">
        <v>717</v>
      </c>
      <c r="AI239" s="64"/>
      <c r="AJ239" s="66"/>
      <c r="AK239" s="22" t="s">
        <v>717</v>
      </c>
      <c r="AL239" s="23"/>
      <c r="AM239" s="23"/>
    </row>
    <row r="240" spans="1:41" s="3" customFormat="1" ht="14.5" x14ac:dyDescent="0.35">
      <c r="A240" s="24">
        <v>234</v>
      </c>
      <c r="B240" s="11" t="s">
        <v>5</v>
      </c>
      <c r="C240" s="11" t="s">
        <v>335</v>
      </c>
      <c r="D240" s="11">
        <v>114964</v>
      </c>
      <c r="E240" s="11">
        <v>48459</v>
      </c>
      <c r="F240" s="20" t="s">
        <v>560</v>
      </c>
      <c r="G240" s="20" t="s">
        <v>738</v>
      </c>
      <c r="H240" s="6">
        <v>29.239609999999999</v>
      </c>
      <c r="I240" s="6">
        <v>71.071849999999998</v>
      </c>
      <c r="J240" s="12" t="s">
        <v>388</v>
      </c>
      <c r="K240" s="11" t="s">
        <v>6</v>
      </c>
      <c r="L240" s="11" t="s">
        <v>433</v>
      </c>
      <c r="M240" s="11" t="s">
        <v>336</v>
      </c>
      <c r="N240" s="39">
        <f t="shared" si="5"/>
        <v>4</v>
      </c>
      <c r="O240" s="41" t="s">
        <v>717</v>
      </c>
      <c r="P240" s="42" t="s">
        <v>717</v>
      </c>
      <c r="Q240" s="43" t="s">
        <v>717</v>
      </c>
      <c r="R240" s="44" t="s">
        <v>717</v>
      </c>
      <c r="S240" s="46" t="s">
        <v>611</v>
      </c>
      <c r="T240" s="46">
        <v>0</v>
      </c>
      <c r="U240" s="46">
        <v>2</v>
      </c>
      <c r="V240" s="46">
        <v>0</v>
      </c>
      <c r="W240" s="48" t="s">
        <v>717</v>
      </c>
      <c r="X240" s="49" t="s">
        <v>717</v>
      </c>
      <c r="Y240" s="50" t="s">
        <v>717</v>
      </c>
      <c r="Z240" s="51" t="s">
        <v>717</v>
      </c>
      <c r="AA240" s="53" t="s">
        <v>717</v>
      </c>
      <c r="AB240" s="54" t="s">
        <v>717</v>
      </c>
      <c r="AC240" s="55" t="s">
        <v>717</v>
      </c>
      <c r="AD240" s="56" t="s">
        <v>717</v>
      </c>
      <c r="AE240" s="58" t="s">
        <v>717</v>
      </c>
      <c r="AF240" s="59" t="s">
        <v>717</v>
      </c>
      <c r="AG240" s="60" t="s">
        <v>717</v>
      </c>
      <c r="AH240" s="61" t="s">
        <v>717</v>
      </c>
      <c r="AI240" s="64">
        <v>2</v>
      </c>
      <c r="AJ240" s="66"/>
      <c r="AK240" s="22" t="s">
        <v>717</v>
      </c>
      <c r="AL240" s="23"/>
      <c r="AM240" s="23" t="s">
        <v>687</v>
      </c>
    </row>
    <row r="241" spans="1:41" s="3" customFormat="1" ht="14.5" x14ac:dyDescent="0.35">
      <c r="A241" s="24">
        <v>235</v>
      </c>
      <c r="B241" s="11" t="s">
        <v>5</v>
      </c>
      <c r="C241" s="11" t="s">
        <v>341</v>
      </c>
      <c r="D241" s="11">
        <v>115077</v>
      </c>
      <c r="E241" s="11">
        <v>48461</v>
      </c>
      <c r="F241" s="20" t="s">
        <v>560</v>
      </c>
      <c r="G241" s="20" t="s">
        <v>738</v>
      </c>
      <c r="H241" s="6">
        <v>28.29551</v>
      </c>
      <c r="I241" s="6">
        <v>70.126760000000004</v>
      </c>
      <c r="J241" s="12" t="s">
        <v>102</v>
      </c>
      <c r="K241" s="11" t="s">
        <v>91</v>
      </c>
      <c r="L241" s="11" t="s">
        <v>433</v>
      </c>
      <c r="M241" s="11" t="s">
        <v>340</v>
      </c>
      <c r="N241" s="39">
        <f t="shared" si="5"/>
        <v>3</v>
      </c>
      <c r="O241" s="41" t="s">
        <v>592</v>
      </c>
      <c r="P241" s="42">
        <v>0</v>
      </c>
      <c r="Q241" s="43">
        <v>3</v>
      </c>
      <c r="R241" s="44">
        <v>0</v>
      </c>
      <c r="S241" s="46" t="s">
        <v>717</v>
      </c>
      <c r="T241" s="46" t="s">
        <v>717</v>
      </c>
      <c r="U241" s="46" t="s">
        <v>717</v>
      </c>
      <c r="V241" s="46" t="s">
        <v>717</v>
      </c>
      <c r="W241" s="48" t="s">
        <v>717</v>
      </c>
      <c r="X241" s="49" t="s">
        <v>717</v>
      </c>
      <c r="Y241" s="50" t="s">
        <v>717</v>
      </c>
      <c r="Z241" s="51" t="s">
        <v>717</v>
      </c>
      <c r="AA241" s="53" t="s">
        <v>717</v>
      </c>
      <c r="AB241" s="54" t="s">
        <v>717</v>
      </c>
      <c r="AC241" s="55" t="s">
        <v>717</v>
      </c>
      <c r="AD241" s="56" t="s">
        <v>717</v>
      </c>
      <c r="AE241" s="58" t="s">
        <v>717</v>
      </c>
      <c r="AF241" s="59" t="s">
        <v>717</v>
      </c>
      <c r="AG241" s="60" t="s">
        <v>717</v>
      </c>
      <c r="AH241" s="61" t="s">
        <v>717</v>
      </c>
      <c r="AI241" s="64"/>
      <c r="AJ241" s="66"/>
      <c r="AK241" s="22">
        <v>3</v>
      </c>
      <c r="AL241" s="23"/>
      <c r="AM241" s="23"/>
      <c r="AN241" s="123">
        <f>N241-AK241</f>
        <v>0</v>
      </c>
    </row>
    <row r="242" spans="1:41" s="3" customFormat="1" ht="14.5" x14ac:dyDescent="0.35">
      <c r="A242" s="24">
        <v>236</v>
      </c>
      <c r="B242" s="11" t="s">
        <v>5</v>
      </c>
      <c r="C242" s="11" t="s">
        <v>342</v>
      </c>
      <c r="D242" s="11">
        <v>115229</v>
      </c>
      <c r="E242" s="11">
        <v>48462</v>
      </c>
      <c r="F242" s="20" t="s">
        <v>560</v>
      </c>
      <c r="G242" s="20" t="s">
        <v>738</v>
      </c>
      <c r="H242" s="6">
        <v>28.280460000000001</v>
      </c>
      <c r="I242" s="6">
        <v>70.040859999999995</v>
      </c>
      <c r="J242" s="12" t="s">
        <v>102</v>
      </c>
      <c r="K242" s="11" t="s">
        <v>91</v>
      </c>
      <c r="L242" s="11" t="s">
        <v>433</v>
      </c>
      <c r="M242" s="11" t="s">
        <v>343</v>
      </c>
      <c r="N242" s="39">
        <f t="shared" si="5"/>
        <v>4</v>
      </c>
      <c r="O242" s="41" t="s">
        <v>592</v>
      </c>
      <c r="P242" s="42">
        <v>0</v>
      </c>
      <c r="Q242" s="43">
        <v>3</v>
      </c>
      <c r="R242" s="44">
        <v>0</v>
      </c>
      <c r="S242" s="46" t="s">
        <v>717</v>
      </c>
      <c r="T242" s="46" t="s">
        <v>717</v>
      </c>
      <c r="U242" s="46" t="s">
        <v>717</v>
      </c>
      <c r="V242" s="46" t="s">
        <v>717</v>
      </c>
      <c r="W242" s="48" t="s">
        <v>717</v>
      </c>
      <c r="X242" s="49" t="s">
        <v>717</v>
      </c>
      <c r="Y242" s="50" t="s">
        <v>717</v>
      </c>
      <c r="Z242" s="51" t="s">
        <v>717</v>
      </c>
      <c r="AA242" s="53" t="s">
        <v>717</v>
      </c>
      <c r="AB242" s="54" t="s">
        <v>717</v>
      </c>
      <c r="AC242" s="55" t="s">
        <v>717</v>
      </c>
      <c r="AD242" s="56" t="s">
        <v>717</v>
      </c>
      <c r="AE242" s="58" t="s">
        <v>717</v>
      </c>
      <c r="AF242" s="59" t="s">
        <v>717</v>
      </c>
      <c r="AG242" s="60" t="s">
        <v>717</v>
      </c>
      <c r="AH242" s="61" t="s">
        <v>717</v>
      </c>
      <c r="AI242" s="64">
        <v>1</v>
      </c>
      <c r="AJ242" s="66"/>
      <c r="AK242" s="22">
        <v>4</v>
      </c>
      <c r="AL242" s="23"/>
      <c r="AM242" s="23" t="s">
        <v>680</v>
      </c>
      <c r="AN242" s="123">
        <f>N242-AK242</f>
        <v>0</v>
      </c>
    </row>
    <row r="243" spans="1:41" s="3" customFormat="1" ht="14.5" x14ac:dyDescent="0.35">
      <c r="A243" s="24">
        <v>237</v>
      </c>
      <c r="B243" s="11" t="s">
        <v>5</v>
      </c>
      <c r="C243" s="12" t="s">
        <v>367</v>
      </c>
      <c r="D243" s="11">
        <v>115295</v>
      </c>
      <c r="E243" s="11">
        <v>48463</v>
      </c>
      <c r="F243" s="20" t="s">
        <v>560</v>
      </c>
      <c r="G243" s="20" t="s">
        <v>738</v>
      </c>
      <c r="H243" s="6">
        <v>29.227650000000001</v>
      </c>
      <c r="I243" s="6">
        <v>71.053280000000001</v>
      </c>
      <c r="J243" s="12" t="s">
        <v>388</v>
      </c>
      <c r="K243" s="11" t="s">
        <v>6</v>
      </c>
      <c r="L243" s="11" t="s">
        <v>433</v>
      </c>
      <c r="M243" s="11" t="s">
        <v>368</v>
      </c>
      <c r="N243" s="39">
        <f t="shared" si="5"/>
        <v>4</v>
      </c>
      <c r="O243" s="41" t="s">
        <v>592</v>
      </c>
      <c r="P243" s="42">
        <v>0</v>
      </c>
      <c r="Q243" s="43">
        <v>3</v>
      </c>
      <c r="R243" s="44">
        <v>0</v>
      </c>
      <c r="S243" s="46" t="s">
        <v>717</v>
      </c>
      <c r="T243" s="46" t="s">
        <v>717</v>
      </c>
      <c r="U243" s="46" t="s">
        <v>717</v>
      </c>
      <c r="V243" s="46" t="s">
        <v>717</v>
      </c>
      <c r="W243" s="48" t="s">
        <v>717</v>
      </c>
      <c r="X243" s="49" t="s">
        <v>717</v>
      </c>
      <c r="Y243" s="50" t="s">
        <v>717</v>
      </c>
      <c r="Z243" s="51" t="s">
        <v>717</v>
      </c>
      <c r="AA243" s="53" t="s">
        <v>717</v>
      </c>
      <c r="AB243" s="54" t="s">
        <v>717</v>
      </c>
      <c r="AC243" s="55" t="s">
        <v>717</v>
      </c>
      <c r="AD243" s="56" t="s">
        <v>717</v>
      </c>
      <c r="AE243" s="58" t="s">
        <v>717</v>
      </c>
      <c r="AF243" s="59" t="s">
        <v>717</v>
      </c>
      <c r="AG243" s="60" t="s">
        <v>717</v>
      </c>
      <c r="AH243" s="61" t="s">
        <v>717</v>
      </c>
      <c r="AI243" s="64">
        <v>1</v>
      </c>
      <c r="AJ243" s="66"/>
      <c r="AK243" s="36">
        <v>3</v>
      </c>
      <c r="AL243" s="23"/>
      <c r="AM243" s="23" t="s">
        <v>652</v>
      </c>
      <c r="AN243" s="123">
        <f>N243-AK243</f>
        <v>1</v>
      </c>
      <c r="AO243" s="31">
        <f>SUM(P243:R243)-AK243</f>
        <v>0</v>
      </c>
    </row>
    <row r="244" spans="1:41" s="3" customFormat="1" ht="14.5" x14ac:dyDescent="0.35">
      <c r="A244" s="24">
        <v>238</v>
      </c>
      <c r="B244" s="11" t="s">
        <v>5</v>
      </c>
      <c r="C244" s="11" t="s">
        <v>349</v>
      </c>
      <c r="D244" s="11">
        <v>115345</v>
      </c>
      <c r="E244" s="11">
        <v>48464</v>
      </c>
      <c r="F244" s="20" t="s">
        <v>560</v>
      </c>
      <c r="G244" s="20" t="s">
        <v>739</v>
      </c>
      <c r="H244" s="6">
        <v>28.290890000000001</v>
      </c>
      <c r="I244" s="6">
        <v>70.123369999999994</v>
      </c>
      <c r="J244" s="12" t="s">
        <v>102</v>
      </c>
      <c r="K244" s="11" t="s">
        <v>6</v>
      </c>
      <c r="L244" s="11" t="s">
        <v>433</v>
      </c>
      <c r="M244" s="11" t="s">
        <v>350</v>
      </c>
      <c r="N244" s="39">
        <f t="shared" si="5"/>
        <v>3</v>
      </c>
      <c r="O244" s="41" t="s">
        <v>592</v>
      </c>
      <c r="P244" s="42">
        <v>0</v>
      </c>
      <c r="Q244" s="43">
        <v>3</v>
      </c>
      <c r="R244" s="44">
        <v>0</v>
      </c>
      <c r="S244" s="46" t="s">
        <v>717</v>
      </c>
      <c r="T244" s="46" t="s">
        <v>717</v>
      </c>
      <c r="U244" s="46" t="s">
        <v>717</v>
      </c>
      <c r="V244" s="46" t="s">
        <v>717</v>
      </c>
      <c r="W244" s="48" t="s">
        <v>717</v>
      </c>
      <c r="X244" s="49" t="s">
        <v>717</v>
      </c>
      <c r="Y244" s="50" t="s">
        <v>717</v>
      </c>
      <c r="Z244" s="51" t="s">
        <v>717</v>
      </c>
      <c r="AA244" s="53" t="s">
        <v>717</v>
      </c>
      <c r="AB244" s="54" t="s">
        <v>717</v>
      </c>
      <c r="AC244" s="55" t="s">
        <v>717</v>
      </c>
      <c r="AD244" s="56" t="s">
        <v>717</v>
      </c>
      <c r="AE244" s="58" t="s">
        <v>717</v>
      </c>
      <c r="AF244" s="59" t="s">
        <v>717</v>
      </c>
      <c r="AG244" s="60" t="s">
        <v>717</v>
      </c>
      <c r="AH244" s="61" t="s">
        <v>717</v>
      </c>
      <c r="AI244" s="64"/>
      <c r="AJ244" s="66"/>
      <c r="AK244" s="22">
        <v>3</v>
      </c>
      <c r="AL244" s="23"/>
      <c r="AM244" s="23"/>
      <c r="AN244" s="123">
        <f>N244-AK244</f>
        <v>0</v>
      </c>
    </row>
    <row r="245" spans="1:41" s="3" customFormat="1" ht="14.5" x14ac:dyDescent="0.35">
      <c r="A245" s="24">
        <v>239</v>
      </c>
      <c r="B245" s="11" t="s">
        <v>5</v>
      </c>
      <c r="C245" s="11" t="s">
        <v>379</v>
      </c>
      <c r="D245" s="11">
        <v>115375</v>
      </c>
      <c r="E245" s="11">
        <v>48466</v>
      </c>
      <c r="F245" s="20" t="s">
        <v>560</v>
      </c>
      <c r="G245" s="20" t="s">
        <v>738</v>
      </c>
      <c r="H245" s="6">
        <v>28.392779999999998</v>
      </c>
      <c r="I245" s="6">
        <v>70.332719999999995</v>
      </c>
      <c r="J245" s="12" t="s">
        <v>91</v>
      </c>
      <c r="K245" s="11" t="s">
        <v>6</v>
      </c>
      <c r="L245" s="11" t="s">
        <v>433</v>
      </c>
      <c r="M245" s="11" t="s">
        <v>380</v>
      </c>
      <c r="N245" s="39">
        <f t="shared" si="5"/>
        <v>6</v>
      </c>
      <c r="O245" s="41" t="s">
        <v>593</v>
      </c>
      <c r="P245" s="42">
        <v>0</v>
      </c>
      <c r="Q245" s="43">
        <v>3</v>
      </c>
      <c r="R245" s="44">
        <v>1</v>
      </c>
      <c r="S245" s="46" t="s">
        <v>717</v>
      </c>
      <c r="T245" s="46" t="s">
        <v>717</v>
      </c>
      <c r="U245" s="46" t="s">
        <v>717</v>
      </c>
      <c r="V245" s="46" t="s">
        <v>717</v>
      </c>
      <c r="W245" s="48" t="s">
        <v>717</v>
      </c>
      <c r="X245" s="49" t="s">
        <v>717</v>
      </c>
      <c r="Y245" s="50" t="s">
        <v>717</v>
      </c>
      <c r="Z245" s="51" t="s">
        <v>717</v>
      </c>
      <c r="AA245" s="53" t="s">
        <v>717</v>
      </c>
      <c r="AB245" s="54" t="s">
        <v>717</v>
      </c>
      <c r="AC245" s="55" t="s">
        <v>717</v>
      </c>
      <c r="AD245" s="56" t="s">
        <v>717</v>
      </c>
      <c r="AE245" s="58" t="s">
        <v>717</v>
      </c>
      <c r="AF245" s="59" t="s">
        <v>717</v>
      </c>
      <c r="AG245" s="60" t="s">
        <v>717</v>
      </c>
      <c r="AH245" s="61" t="s">
        <v>717</v>
      </c>
      <c r="AI245" s="64">
        <v>2</v>
      </c>
      <c r="AJ245" s="66"/>
      <c r="AK245" s="36">
        <v>4</v>
      </c>
      <c r="AL245" s="23"/>
      <c r="AM245" s="23" t="s">
        <v>688</v>
      </c>
      <c r="AN245" s="123">
        <f>N245-AK245</f>
        <v>2</v>
      </c>
      <c r="AO245" s="31">
        <f t="shared" ref="AO245:AO246" si="6">SUM(P245:R245)-AK245</f>
        <v>0</v>
      </c>
    </row>
    <row r="246" spans="1:41" s="3" customFormat="1" ht="14.5" x14ac:dyDescent="0.35">
      <c r="A246" s="24">
        <v>240</v>
      </c>
      <c r="B246" s="11" t="s">
        <v>5</v>
      </c>
      <c r="C246" s="11" t="s">
        <v>364</v>
      </c>
      <c r="D246" s="11">
        <v>115547</v>
      </c>
      <c r="E246" s="11">
        <v>48467</v>
      </c>
      <c r="F246" s="20" t="s">
        <v>560</v>
      </c>
      <c r="G246" s="20" t="s">
        <v>738</v>
      </c>
      <c r="H246" s="6">
        <v>29.545059999999999</v>
      </c>
      <c r="I246" s="6">
        <v>71.641409999999993</v>
      </c>
      <c r="J246" s="12" t="s">
        <v>14</v>
      </c>
      <c r="K246" s="11" t="s">
        <v>14</v>
      </c>
      <c r="L246" s="11" t="s">
        <v>433</v>
      </c>
      <c r="M246" s="11" t="s">
        <v>365</v>
      </c>
      <c r="N246" s="39">
        <f t="shared" si="5"/>
        <v>4</v>
      </c>
      <c r="O246" s="41" t="s">
        <v>606</v>
      </c>
      <c r="P246" s="42">
        <v>0</v>
      </c>
      <c r="Q246" s="43">
        <v>2</v>
      </c>
      <c r="R246" s="44">
        <v>0</v>
      </c>
      <c r="S246" s="46" t="s">
        <v>717</v>
      </c>
      <c r="T246" s="46" t="s">
        <v>717</v>
      </c>
      <c r="U246" s="46" t="s">
        <v>717</v>
      </c>
      <c r="V246" s="46" t="s">
        <v>717</v>
      </c>
      <c r="W246" s="48" t="s">
        <v>717</v>
      </c>
      <c r="X246" s="49" t="s">
        <v>717</v>
      </c>
      <c r="Y246" s="50" t="s">
        <v>717</v>
      </c>
      <c r="Z246" s="51" t="s">
        <v>717</v>
      </c>
      <c r="AA246" s="53" t="s">
        <v>717</v>
      </c>
      <c r="AB246" s="54" t="s">
        <v>717</v>
      </c>
      <c r="AC246" s="55" t="s">
        <v>717</v>
      </c>
      <c r="AD246" s="56" t="s">
        <v>717</v>
      </c>
      <c r="AE246" s="58" t="s">
        <v>717</v>
      </c>
      <c r="AF246" s="59" t="s">
        <v>717</v>
      </c>
      <c r="AG246" s="60" t="s">
        <v>717</v>
      </c>
      <c r="AH246" s="61" t="s">
        <v>717</v>
      </c>
      <c r="AI246" s="64">
        <v>2</v>
      </c>
      <c r="AJ246" s="66"/>
      <c r="AK246" s="36">
        <v>2</v>
      </c>
      <c r="AL246" s="23"/>
      <c r="AM246" s="23" t="s">
        <v>632</v>
      </c>
      <c r="AN246" s="123">
        <f>N246-AK246</f>
        <v>2</v>
      </c>
      <c r="AO246" s="31">
        <f t="shared" si="6"/>
        <v>0</v>
      </c>
    </row>
    <row r="247" spans="1:41" s="3" customFormat="1" ht="14.5" x14ac:dyDescent="0.35">
      <c r="A247" s="24">
        <v>241</v>
      </c>
      <c r="B247" s="11" t="s">
        <v>5</v>
      </c>
      <c r="C247" s="12" t="s">
        <v>375</v>
      </c>
      <c r="D247" s="10">
        <v>115822</v>
      </c>
      <c r="E247" s="11">
        <v>48468</v>
      </c>
      <c r="F247" s="20" t="s">
        <v>560</v>
      </c>
      <c r="G247" s="20" t="s">
        <v>738</v>
      </c>
      <c r="H247" s="6">
        <v>29.42024</v>
      </c>
      <c r="I247" s="6">
        <v>71.751840000000001</v>
      </c>
      <c r="J247" s="12" t="s">
        <v>6</v>
      </c>
      <c r="K247" s="11" t="s">
        <v>6</v>
      </c>
      <c r="L247" s="11" t="s">
        <v>433</v>
      </c>
      <c r="M247" s="11" t="s">
        <v>376</v>
      </c>
      <c r="N247" s="39">
        <f t="shared" si="5"/>
        <v>3</v>
      </c>
      <c r="O247" s="41" t="s">
        <v>606</v>
      </c>
      <c r="P247" s="42">
        <v>0</v>
      </c>
      <c r="Q247" s="43">
        <v>2</v>
      </c>
      <c r="R247" s="44">
        <v>0</v>
      </c>
      <c r="S247" s="46" t="s">
        <v>717</v>
      </c>
      <c r="T247" s="46" t="s">
        <v>717</v>
      </c>
      <c r="U247" s="46" t="s">
        <v>717</v>
      </c>
      <c r="V247" s="46" t="s">
        <v>717</v>
      </c>
      <c r="W247" s="48" t="s">
        <v>717</v>
      </c>
      <c r="X247" s="49" t="s">
        <v>717</v>
      </c>
      <c r="Y247" s="50" t="s">
        <v>717</v>
      </c>
      <c r="Z247" s="51" t="s">
        <v>717</v>
      </c>
      <c r="AA247" s="53" t="s">
        <v>717</v>
      </c>
      <c r="AB247" s="54" t="s">
        <v>717</v>
      </c>
      <c r="AC247" s="55" t="s">
        <v>717</v>
      </c>
      <c r="AD247" s="56" t="s">
        <v>717</v>
      </c>
      <c r="AE247" s="58" t="s">
        <v>717</v>
      </c>
      <c r="AF247" s="59" t="s">
        <v>717</v>
      </c>
      <c r="AG247" s="60" t="s">
        <v>717</v>
      </c>
      <c r="AH247" s="61" t="s">
        <v>717</v>
      </c>
      <c r="AI247" s="64">
        <v>1</v>
      </c>
      <c r="AJ247" s="66"/>
      <c r="AK247" s="22">
        <v>3</v>
      </c>
      <c r="AL247" s="23"/>
      <c r="AM247" s="23" t="s">
        <v>680</v>
      </c>
      <c r="AN247" s="123">
        <f>N247-AK247</f>
        <v>0</v>
      </c>
    </row>
    <row r="248" spans="1:41" s="3" customFormat="1" ht="14.5" x14ac:dyDescent="0.35">
      <c r="A248" s="24">
        <v>242</v>
      </c>
      <c r="B248" s="11" t="s">
        <v>5</v>
      </c>
      <c r="C248" s="11" t="s">
        <v>498</v>
      </c>
      <c r="D248" s="11">
        <v>110142</v>
      </c>
      <c r="E248" s="11">
        <v>48469</v>
      </c>
      <c r="F248" s="20" t="s">
        <v>559</v>
      </c>
      <c r="G248" s="20" t="s">
        <v>739</v>
      </c>
      <c r="H248" s="6">
        <v>29.174410000000002</v>
      </c>
      <c r="I248" s="6">
        <v>71.864270000000005</v>
      </c>
      <c r="J248" s="12" t="s">
        <v>6</v>
      </c>
      <c r="K248" s="11" t="s">
        <v>6</v>
      </c>
      <c r="L248" s="11" t="s">
        <v>433</v>
      </c>
      <c r="M248" s="11" t="s">
        <v>314</v>
      </c>
      <c r="N248" s="39">
        <f t="shared" si="5"/>
        <v>2</v>
      </c>
      <c r="O248" s="41" t="s">
        <v>717</v>
      </c>
      <c r="P248" s="42" t="s">
        <v>717</v>
      </c>
      <c r="Q248" s="43" t="s">
        <v>717</v>
      </c>
      <c r="R248" s="44" t="s">
        <v>717</v>
      </c>
      <c r="S248" s="46" t="s">
        <v>717</v>
      </c>
      <c r="T248" s="46" t="s">
        <v>717</v>
      </c>
      <c r="U248" s="46" t="s">
        <v>717</v>
      </c>
      <c r="V248" s="46" t="s">
        <v>717</v>
      </c>
      <c r="W248" s="48" t="s">
        <v>717</v>
      </c>
      <c r="X248" s="49" t="s">
        <v>717</v>
      </c>
      <c r="Y248" s="50" t="s">
        <v>717</v>
      </c>
      <c r="Z248" s="51" t="s">
        <v>717</v>
      </c>
      <c r="AA248" s="53" t="s">
        <v>717</v>
      </c>
      <c r="AB248" s="54" t="s">
        <v>717</v>
      </c>
      <c r="AC248" s="55" t="s">
        <v>717</v>
      </c>
      <c r="AD248" s="56" t="s">
        <v>717</v>
      </c>
      <c r="AE248" s="58" t="s">
        <v>717</v>
      </c>
      <c r="AF248" s="59" t="s">
        <v>717</v>
      </c>
      <c r="AG248" s="60" t="s">
        <v>717</v>
      </c>
      <c r="AH248" s="61" t="s">
        <v>717</v>
      </c>
      <c r="AI248" s="64">
        <v>2</v>
      </c>
      <c r="AJ248" s="66"/>
      <c r="AK248" s="22" t="s">
        <v>717</v>
      </c>
      <c r="AL248" s="23"/>
      <c r="AM248" s="23" t="s">
        <v>691</v>
      </c>
    </row>
    <row r="249" spans="1:41" s="3" customFormat="1" ht="14.5" x14ac:dyDescent="0.35">
      <c r="A249" s="24">
        <v>243</v>
      </c>
      <c r="B249" s="11" t="s">
        <v>5</v>
      </c>
      <c r="C249" s="15" t="s">
        <v>381</v>
      </c>
      <c r="D249" s="11">
        <v>116194</v>
      </c>
      <c r="E249" s="11">
        <v>48470</v>
      </c>
      <c r="F249" s="20" t="s">
        <v>560</v>
      </c>
      <c r="G249" s="20" t="s">
        <v>738</v>
      </c>
      <c r="H249" s="6">
        <v>28.441269999999999</v>
      </c>
      <c r="I249" s="6">
        <v>70.218530000000001</v>
      </c>
      <c r="J249" s="12" t="s">
        <v>102</v>
      </c>
      <c r="K249" s="11" t="s">
        <v>6</v>
      </c>
      <c r="L249" s="11" t="s">
        <v>433</v>
      </c>
      <c r="M249" s="11" t="s">
        <v>382</v>
      </c>
      <c r="N249" s="39">
        <f t="shared" si="5"/>
        <v>3</v>
      </c>
      <c r="O249" s="41" t="s">
        <v>592</v>
      </c>
      <c r="P249" s="42">
        <v>0</v>
      </c>
      <c r="Q249" s="43">
        <v>1</v>
      </c>
      <c r="R249" s="44">
        <v>2</v>
      </c>
      <c r="S249" s="46" t="s">
        <v>717</v>
      </c>
      <c r="T249" s="46" t="s">
        <v>717</v>
      </c>
      <c r="U249" s="46" t="s">
        <v>717</v>
      </c>
      <c r="V249" s="46" t="s">
        <v>717</v>
      </c>
      <c r="W249" s="48" t="s">
        <v>717</v>
      </c>
      <c r="X249" s="49" t="s">
        <v>717</v>
      </c>
      <c r="Y249" s="50" t="s">
        <v>717</v>
      </c>
      <c r="Z249" s="51" t="s">
        <v>717</v>
      </c>
      <c r="AA249" s="53" t="s">
        <v>717</v>
      </c>
      <c r="AB249" s="54" t="s">
        <v>717</v>
      </c>
      <c r="AC249" s="55" t="s">
        <v>717</v>
      </c>
      <c r="AD249" s="56" t="s">
        <v>717</v>
      </c>
      <c r="AE249" s="58" t="s">
        <v>717</v>
      </c>
      <c r="AF249" s="59" t="s">
        <v>717</v>
      </c>
      <c r="AG249" s="60" t="s">
        <v>717</v>
      </c>
      <c r="AH249" s="61" t="s">
        <v>717</v>
      </c>
      <c r="AI249" s="64"/>
      <c r="AJ249" s="66"/>
      <c r="AK249" s="22">
        <v>5</v>
      </c>
      <c r="AL249" s="23"/>
      <c r="AM249" s="23"/>
      <c r="AN249" s="123">
        <f>N249-AK249</f>
        <v>-2</v>
      </c>
    </row>
    <row r="250" spans="1:41" s="3" customFormat="1" ht="14.5" x14ac:dyDescent="0.35">
      <c r="A250" s="24">
        <v>244</v>
      </c>
      <c r="B250" s="11" t="s">
        <v>5</v>
      </c>
      <c r="C250" s="14" t="s">
        <v>383</v>
      </c>
      <c r="D250" s="11">
        <v>116780</v>
      </c>
      <c r="E250" s="7">
        <v>48472</v>
      </c>
      <c r="F250" s="20" t="s">
        <v>560</v>
      </c>
      <c r="G250" s="20" t="s">
        <v>738</v>
      </c>
      <c r="H250" s="6">
        <v>29.0181571</v>
      </c>
      <c r="I250" s="6">
        <v>70.974292800000001</v>
      </c>
      <c r="J250" s="12" t="s">
        <v>91</v>
      </c>
      <c r="K250" s="11" t="s">
        <v>91</v>
      </c>
      <c r="L250" s="11" t="s">
        <v>433</v>
      </c>
      <c r="M250" s="11" t="s">
        <v>384</v>
      </c>
      <c r="N250" s="39">
        <f t="shared" si="5"/>
        <v>4</v>
      </c>
      <c r="O250" s="41" t="s">
        <v>597</v>
      </c>
      <c r="P250" s="42">
        <v>0</v>
      </c>
      <c r="Q250" s="43">
        <v>3</v>
      </c>
      <c r="R250" s="44">
        <v>0</v>
      </c>
      <c r="S250" s="46" t="s">
        <v>717</v>
      </c>
      <c r="T250" s="46" t="s">
        <v>717</v>
      </c>
      <c r="U250" s="46" t="s">
        <v>717</v>
      </c>
      <c r="V250" s="46" t="s">
        <v>717</v>
      </c>
      <c r="W250" s="48" t="s">
        <v>717</v>
      </c>
      <c r="X250" s="49" t="s">
        <v>717</v>
      </c>
      <c r="Y250" s="50" t="s">
        <v>717</v>
      </c>
      <c r="Z250" s="51" t="s">
        <v>717</v>
      </c>
      <c r="AA250" s="53" t="s">
        <v>717</v>
      </c>
      <c r="AB250" s="54" t="s">
        <v>717</v>
      </c>
      <c r="AC250" s="55" t="s">
        <v>717</v>
      </c>
      <c r="AD250" s="56" t="s">
        <v>717</v>
      </c>
      <c r="AE250" s="58" t="s">
        <v>717</v>
      </c>
      <c r="AF250" s="59" t="s">
        <v>717</v>
      </c>
      <c r="AG250" s="60" t="s">
        <v>717</v>
      </c>
      <c r="AH250" s="61" t="s">
        <v>717</v>
      </c>
      <c r="AI250" s="64">
        <v>1</v>
      </c>
      <c r="AJ250" s="66"/>
      <c r="AK250" s="22" t="s">
        <v>717</v>
      </c>
      <c r="AL250" s="23"/>
      <c r="AM250" s="23" t="s">
        <v>670</v>
      </c>
    </row>
    <row r="251" spans="1:41" s="3" customFormat="1" ht="14.5" x14ac:dyDescent="0.35">
      <c r="A251" s="24">
        <v>245</v>
      </c>
      <c r="B251" s="11" t="s">
        <v>5</v>
      </c>
      <c r="C251" s="12" t="s">
        <v>387</v>
      </c>
      <c r="D251" s="11">
        <v>116806</v>
      </c>
      <c r="E251" s="11">
        <v>48473</v>
      </c>
      <c r="F251" s="20" t="s">
        <v>560</v>
      </c>
      <c r="G251" s="20" t="s">
        <v>738</v>
      </c>
      <c r="H251" s="6">
        <v>29.166916000000001</v>
      </c>
      <c r="I251" s="6">
        <v>71.257987999999997</v>
      </c>
      <c r="J251" s="12" t="s">
        <v>388</v>
      </c>
      <c r="K251" s="11" t="s">
        <v>6</v>
      </c>
      <c r="L251" s="11" t="s">
        <v>433</v>
      </c>
      <c r="M251" s="11" t="s">
        <v>389</v>
      </c>
      <c r="N251" s="39">
        <f t="shared" si="5"/>
        <v>4</v>
      </c>
      <c r="O251" s="41" t="s">
        <v>593</v>
      </c>
      <c r="P251" s="42">
        <v>0</v>
      </c>
      <c r="Q251" s="43">
        <v>4</v>
      </c>
      <c r="R251" s="44">
        <v>0</v>
      </c>
      <c r="S251" s="46" t="s">
        <v>717</v>
      </c>
      <c r="T251" s="46" t="s">
        <v>717</v>
      </c>
      <c r="U251" s="46" t="s">
        <v>717</v>
      </c>
      <c r="V251" s="46" t="s">
        <v>717</v>
      </c>
      <c r="W251" s="48" t="s">
        <v>717</v>
      </c>
      <c r="X251" s="49" t="s">
        <v>717</v>
      </c>
      <c r="Y251" s="50" t="s">
        <v>717</v>
      </c>
      <c r="Z251" s="51" t="s">
        <v>717</v>
      </c>
      <c r="AA251" s="53" t="s">
        <v>717</v>
      </c>
      <c r="AB251" s="54" t="s">
        <v>717</v>
      </c>
      <c r="AC251" s="55" t="s">
        <v>717</v>
      </c>
      <c r="AD251" s="56" t="s">
        <v>717</v>
      </c>
      <c r="AE251" s="58" t="s">
        <v>717</v>
      </c>
      <c r="AF251" s="59" t="s">
        <v>717</v>
      </c>
      <c r="AG251" s="60" t="s">
        <v>717</v>
      </c>
      <c r="AH251" s="61" t="s">
        <v>717</v>
      </c>
      <c r="AI251" s="64"/>
      <c r="AJ251" s="66"/>
      <c r="AK251" s="22">
        <v>4</v>
      </c>
      <c r="AL251" s="23"/>
      <c r="AM251" s="23"/>
      <c r="AN251" s="123">
        <f>N251-AK251</f>
        <v>0</v>
      </c>
    </row>
    <row r="252" spans="1:41" s="3" customFormat="1" ht="14.5" x14ac:dyDescent="0.35">
      <c r="A252" s="24">
        <v>246</v>
      </c>
      <c r="B252" s="11" t="s">
        <v>5</v>
      </c>
      <c r="C252" s="11" t="s">
        <v>385</v>
      </c>
      <c r="D252" s="11">
        <v>116938</v>
      </c>
      <c r="E252" s="16">
        <v>48476</v>
      </c>
      <c r="F252" s="20" t="s">
        <v>560</v>
      </c>
      <c r="G252" s="20" t="s">
        <v>741</v>
      </c>
      <c r="H252" s="6">
        <v>28.526399999999999</v>
      </c>
      <c r="I252" s="6">
        <v>70.436150999999995</v>
      </c>
      <c r="J252" s="12" t="s">
        <v>57</v>
      </c>
      <c r="K252" s="11" t="s">
        <v>91</v>
      </c>
      <c r="L252" s="11" t="s">
        <v>433</v>
      </c>
      <c r="M252" s="11" t="s">
        <v>386</v>
      </c>
      <c r="N252" s="39">
        <f t="shared" si="5"/>
        <v>3</v>
      </c>
      <c r="O252" s="41" t="s">
        <v>597</v>
      </c>
      <c r="P252" s="42">
        <v>0</v>
      </c>
      <c r="Q252" s="43">
        <v>3</v>
      </c>
      <c r="R252" s="44">
        <v>0</v>
      </c>
      <c r="S252" s="46" t="s">
        <v>717</v>
      </c>
      <c r="T252" s="46" t="s">
        <v>717</v>
      </c>
      <c r="U252" s="46" t="s">
        <v>717</v>
      </c>
      <c r="V252" s="46" t="s">
        <v>717</v>
      </c>
      <c r="W252" s="48" t="s">
        <v>717</v>
      </c>
      <c r="X252" s="49" t="s">
        <v>717</v>
      </c>
      <c r="Y252" s="50" t="s">
        <v>717</v>
      </c>
      <c r="Z252" s="51" t="s">
        <v>717</v>
      </c>
      <c r="AA252" s="53" t="s">
        <v>717</v>
      </c>
      <c r="AB252" s="54" t="s">
        <v>717</v>
      </c>
      <c r="AC252" s="55" t="s">
        <v>717</v>
      </c>
      <c r="AD252" s="56" t="s">
        <v>717</v>
      </c>
      <c r="AE252" s="58" t="s">
        <v>717</v>
      </c>
      <c r="AF252" s="59" t="s">
        <v>717</v>
      </c>
      <c r="AG252" s="60" t="s">
        <v>717</v>
      </c>
      <c r="AH252" s="61" t="s">
        <v>717</v>
      </c>
      <c r="AI252" s="64"/>
      <c r="AJ252" s="66"/>
      <c r="AK252" s="22" t="s">
        <v>717</v>
      </c>
      <c r="AL252" s="23"/>
      <c r="AM252" s="23"/>
    </row>
    <row r="253" spans="1:41" s="3" customFormat="1" ht="14.5" x14ac:dyDescent="0.35">
      <c r="A253" s="24">
        <v>247</v>
      </c>
      <c r="B253" s="11" t="s">
        <v>5</v>
      </c>
      <c r="C253" s="11" t="s">
        <v>392</v>
      </c>
      <c r="D253" s="11">
        <v>116981</v>
      </c>
      <c r="E253" s="11">
        <v>48477</v>
      </c>
      <c r="F253" s="20" t="s">
        <v>560</v>
      </c>
      <c r="G253" s="20" t="s">
        <v>739</v>
      </c>
      <c r="H253" s="6">
        <v>29.053322999999999</v>
      </c>
      <c r="I253" s="6">
        <v>71.368649000000005</v>
      </c>
      <c r="J253" s="12" t="s">
        <v>388</v>
      </c>
      <c r="K253" s="11" t="s">
        <v>6</v>
      </c>
      <c r="L253" s="11" t="s">
        <v>433</v>
      </c>
      <c r="M253" s="11" t="s">
        <v>393</v>
      </c>
      <c r="N253" s="39">
        <f t="shared" si="5"/>
        <v>3</v>
      </c>
      <c r="O253" s="41" t="s">
        <v>717</v>
      </c>
      <c r="P253" s="42" t="s">
        <v>717</v>
      </c>
      <c r="Q253" s="43" t="s">
        <v>717</v>
      </c>
      <c r="R253" s="44" t="s">
        <v>717</v>
      </c>
      <c r="S253" s="46" t="s">
        <v>717</v>
      </c>
      <c r="T253" s="46" t="s">
        <v>717</v>
      </c>
      <c r="U253" s="46" t="s">
        <v>717</v>
      </c>
      <c r="V253" s="46" t="s">
        <v>717</v>
      </c>
      <c r="W253" s="48" t="s">
        <v>717</v>
      </c>
      <c r="X253" s="49" t="s">
        <v>717</v>
      </c>
      <c r="Y253" s="50" t="s">
        <v>717</v>
      </c>
      <c r="Z253" s="51" t="s">
        <v>717</v>
      </c>
      <c r="AA253" s="53" t="s">
        <v>717</v>
      </c>
      <c r="AB253" s="54" t="s">
        <v>717</v>
      </c>
      <c r="AC253" s="55" t="s">
        <v>717</v>
      </c>
      <c r="AD253" s="56" t="s">
        <v>717</v>
      </c>
      <c r="AE253" s="58" t="s">
        <v>717</v>
      </c>
      <c r="AF253" s="59" t="s">
        <v>717</v>
      </c>
      <c r="AG253" s="60" t="s">
        <v>717</v>
      </c>
      <c r="AH253" s="61" t="s">
        <v>717</v>
      </c>
      <c r="AI253" s="64">
        <v>3</v>
      </c>
      <c r="AJ253" s="66"/>
      <c r="AK253" s="22" t="s">
        <v>717</v>
      </c>
      <c r="AL253" s="23"/>
      <c r="AM253" s="23" t="s">
        <v>626</v>
      </c>
    </row>
    <row r="254" spans="1:41" s="3" customFormat="1" ht="14.5" x14ac:dyDescent="0.35">
      <c r="A254" s="24">
        <v>248</v>
      </c>
      <c r="B254" s="11" t="s">
        <v>5</v>
      </c>
      <c r="C254" s="11" t="s">
        <v>423</v>
      </c>
      <c r="D254" s="11">
        <v>116998</v>
      </c>
      <c r="E254" s="11">
        <v>48478</v>
      </c>
      <c r="F254" s="20" t="s">
        <v>560</v>
      </c>
      <c r="G254" s="20" t="s">
        <v>738</v>
      </c>
      <c r="H254" s="6">
        <v>29.102544000000002</v>
      </c>
      <c r="I254" s="6">
        <v>71.128405000000001</v>
      </c>
      <c r="J254" s="12" t="s">
        <v>6</v>
      </c>
      <c r="K254" s="11" t="s">
        <v>6</v>
      </c>
      <c r="L254" s="11" t="s">
        <v>433</v>
      </c>
      <c r="M254" s="11" t="s">
        <v>424</v>
      </c>
      <c r="N254" s="39">
        <f t="shared" si="5"/>
        <v>4</v>
      </c>
      <c r="O254" s="41" t="s">
        <v>592</v>
      </c>
      <c r="P254" s="42">
        <v>0</v>
      </c>
      <c r="Q254" s="43">
        <v>3</v>
      </c>
      <c r="R254" s="44">
        <v>0</v>
      </c>
      <c r="S254" s="46" t="s">
        <v>717</v>
      </c>
      <c r="T254" s="46" t="s">
        <v>717</v>
      </c>
      <c r="U254" s="46" t="s">
        <v>717</v>
      </c>
      <c r="V254" s="46" t="s">
        <v>717</v>
      </c>
      <c r="W254" s="48" t="s">
        <v>717</v>
      </c>
      <c r="X254" s="49" t="s">
        <v>717</v>
      </c>
      <c r="Y254" s="50" t="s">
        <v>717</v>
      </c>
      <c r="Z254" s="51" t="s">
        <v>717</v>
      </c>
      <c r="AA254" s="53" t="s">
        <v>717</v>
      </c>
      <c r="AB254" s="54" t="s">
        <v>717</v>
      </c>
      <c r="AC254" s="55" t="s">
        <v>717</v>
      </c>
      <c r="AD254" s="56" t="s">
        <v>717</v>
      </c>
      <c r="AE254" s="58" t="s">
        <v>717</v>
      </c>
      <c r="AF254" s="59" t="s">
        <v>717</v>
      </c>
      <c r="AG254" s="60" t="s">
        <v>717</v>
      </c>
      <c r="AH254" s="61" t="s">
        <v>717</v>
      </c>
      <c r="AI254" s="64">
        <v>1</v>
      </c>
      <c r="AJ254" s="66"/>
      <c r="AK254" s="22">
        <v>4</v>
      </c>
      <c r="AL254" s="23"/>
      <c r="AM254" s="23" t="s">
        <v>670</v>
      </c>
      <c r="AN254" s="123">
        <f>N254-AK254</f>
        <v>0</v>
      </c>
    </row>
    <row r="255" spans="1:41" s="3" customFormat="1" ht="14.5" x14ac:dyDescent="0.35">
      <c r="A255" s="24">
        <v>249</v>
      </c>
      <c r="B255" s="11" t="s">
        <v>5</v>
      </c>
      <c r="C255" s="11" t="s">
        <v>399</v>
      </c>
      <c r="D255" s="11">
        <v>117101</v>
      </c>
      <c r="E255" s="11">
        <v>48479</v>
      </c>
      <c r="F255" s="20" t="s">
        <v>560</v>
      </c>
      <c r="G255" s="20" t="s">
        <v>738</v>
      </c>
      <c r="H255" s="6">
        <v>29.715109999999999</v>
      </c>
      <c r="I255" s="6">
        <v>71.710440000000006</v>
      </c>
      <c r="J255" s="12" t="s">
        <v>415</v>
      </c>
      <c r="K255" s="11" t="s">
        <v>14</v>
      </c>
      <c r="L255" s="11" t="s">
        <v>433</v>
      </c>
      <c r="M255" s="11" t="s">
        <v>400</v>
      </c>
      <c r="N255" s="39">
        <f t="shared" si="5"/>
        <v>4</v>
      </c>
      <c r="O255" s="41" t="s">
        <v>592</v>
      </c>
      <c r="P255" s="42">
        <v>0</v>
      </c>
      <c r="Q255" s="43">
        <v>3</v>
      </c>
      <c r="R255" s="44">
        <v>0</v>
      </c>
      <c r="S255" s="46" t="s">
        <v>717</v>
      </c>
      <c r="T255" s="46" t="s">
        <v>717</v>
      </c>
      <c r="U255" s="46" t="s">
        <v>717</v>
      </c>
      <c r="V255" s="46" t="s">
        <v>717</v>
      </c>
      <c r="W255" s="48" t="s">
        <v>717</v>
      </c>
      <c r="X255" s="49" t="s">
        <v>717</v>
      </c>
      <c r="Y255" s="50" t="s">
        <v>717</v>
      </c>
      <c r="Z255" s="51" t="s">
        <v>717</v>
      </c>
      <c r="AA255" s="53" t="s">
        <v>717</v>
      </c>
      <c r="AB255" s="54" t="s">
        <v>717</v>
      </c>
      <c r="AC255" s="55" t="s">
        <v>717</v>
      </c>
      <c r="AD255" s="56" t="s">
        <v>717</v>
      </c>
      <c r="AE255" s="58" t="s">
        <v>717</v>
      </c>
      <c r="AF255" s="59" t="s">
        <v>717</v>
      </c>
      <c r="AG255" s="60" t="s">
        <v>717</v>
      </c>
      <c r="AH255" s="61" t="s">
        <v>717</v>
      </c>
      <c r="AI255" s="64">
        <v>1</v>
      </c>
      <c r="AJ255" s="66"/>
      <c r="AK255" s="36">
        <v>3</v>
      </c>
      <c r="AL255" s="23"/>
      <c r="AM255" s="23" t="s">
        <v>679</v>
      </c>
      <c r="AN255" s="123">
        <f>N255-AK255</f>
        <v>1</v>
      </c>
      <c r="AO255" s="31">
        <f t="shared" ref="AO255:AO257" si="7">SUM(P255:R255)-AK255</f>
        <v>0</v>
      </c>
    </row>
    <row r="256" spans="1:41" s="3" customFormat="1" ht="14.5" x14ac:dyDescent="0.35">
      <c r="A256" s="24">
        <v>250</v>
      </c>
      <c r="B256" s="11" t="s">
        <v>5</v>
      </c>
      <c r="C256" s="14" t="s">
        <v>557</v>
      </c>
      <c r="D256" s="11">
        <v>120013</v>
      </c>
      <c r="E256" s="7">
        <v>48480</v>
      </c>
      <c r="F256" s="20" t="s">
        <v>560</v>
      </c>
      <c r="G256" s="20" t="s">
        <v>740</v>
      </c>
      <c r="H256" s="6">
        <v>28.922335</v>
      </c>
      <c r="I256" s="6">
        <v>70.622736000000003</v>
      </c>
      <c r="J256" s="12" t="s">
        <v>435</v>
      </c>
      <c r="K256" s="11" t="s">
        <v>91</v>
      </c>
      <c r="L256" s="11" t="s">
        <v>433</v>
      </c>
      <c r="M256" s="11" t="s">
        <v>556</v>
      </c>
      <c r="N256" s="39">
        <f t="shared" si="5"/>
        <v>8</v>
      </c>
      <c r="O256" s="41" t="s">
        <v>612</v>
      </c>
      <c r="P256" s="42">
        <v>0</v>
      </c>
      <c r="Q256" s="43">
        <v>7</v>
      </c>
      <c r="R256" s="44">
        <v>1</v>
      </c>
      <c r="S256" s="46" t="s">
        <v>717</v>
      </c>
      <c r="T256" s="46" t="s">
        <v>717</v>
      </c>
      <c r="U256" s="46" t="s">
        <v>717</v>
      </c>
      <c r="V256" s="46" t="s">
        <v>717</v>
      </c>
      <c r="W256" s="48" t="s">
        <v>717</v>
      </c>
      <c r="X256" s="49" t="s">
        <v>717</v>
      </c>
      <c r="Y256" s="50" t="s">
        <v>717</v>
      </c>
      <c r="Z256" s="51" t="s">
        <v>717</v>
      </c>
      <c r="AA256" s="53" t="s">
        <v>717</v>
      </c>
      <c r="AB256" s="54" t="s">
        <v>717</v>
      </c>
      <c r="AC256" s="55" t="s">
        <v>717</v>
      </c>
      <c r="AD256" s="56" t="s">
        <v>717</v>
      </c>
      <c r="AE256" s="58" t="s">
        <v>717</v>
      </c>
      <c r="AF256" s="59" t="s">
        <v>717</v>
      </c>
      <c r="AG256" s="60" t="s">
        <v>717</v>
      </c>
      <c r="AH256" s="61" t="s">
        <v>717</v>
      </c>
      <c r="AI256" s="64"/>
      <c r="AJ256" s="66"/>
      <c r="AK256" s="36">
        <v>7</v>
      </c>
      <c r="AL256" s="23"/>
      <c r="AM256" s="23"/>
      <c r="AN256" s="123">
        <f>N256-AK256</f>
        <v>1</v>
      </c>
      <c r="AO256" s="31">
        <f t="shared" si="7"/>
        <v>1</v>
      </c>
    </row>
    <row r="257" spans="1:41" s="3" customFormat="1" ht="14.5" x14ac:dyDescent="0.35">
      <c r="A257" s="24">
        <v>251</v>
      </c>
      <c r="B257" s="11" t="s">
        <v>5</v>
      </c>
      <c r="C257" s="14" t="s">
        <v>555</v>
      </c>
      <c r="D257" s="11">
        <v>120009</v>
      </c>
      <c r="E257" s="7">
        <v>48481</v>
      </c>
      <c r="F257" s="20" t="s">
        <v>560</v>
      </c>
      <c r="G257" s="20" t="s">
        <v>740</v>
      </c>
      <c r="H257" s="6">
        <v>28.920228999999999</v>
      </c>
      <c r="I257" s="6">
        <v>70.624011999999993</v>
      </c>
      <c r="J257" s="12" t="s">
        <v>435</v>
      </c>
      <c r="K257" s="11" t="s">
        <v>91</v>
      </c>
      <c r="L257" s="11" t="s">
        <v>433</v>
      </c>
      <c r="M257" s="11" t="s">
        <v>556</v>
      </c>
      <c r="N257" s="39">
        <f t="shared" si="5"/>
        <v>8</v>
      </c>
      <c r="O257" s="41" t="s">
        <v>612</v>
      </c>
      <c r="P257" s="42">
        <v>0</v>
      </c>
      <c r="Q257" s="43">
        <v>7</v>
      </c>
      <c r="R257" s="44">
        <v>1</v>
      </c>
      <c r="S257" s="46" t="s">
        <v>717</v>
      </c>
      <c r="T257" s="46" t="s">
        <v>717</v>
      </c>
      <c r="U257" s="46" t="s">
        <v>717</v>
      </c>
      <c r="V257" s="46" t="s">
        <v>717</v>
      </c>
      <c r="W257" s="48" t="s">
        <v>717</v>
      </c>
      <c r="X257" s="49" t="s">
        <v>717</v>
      </c>
      <c r="Y257" s="50" t="s">
        <v>717</v>
      </c>
      <c r="Z257" s="51" t="s">
        <v>717</v>
      </c>
      <c r="AA257" s="53" t="s">
        <v>717</v>
      </c>
      <c r="AB257" s="54" t="s">
        <v>717</v>
      </c>
      <c r="AC257" s="55" t="s">
        <v>717</v>
      </c>
      <c r="AD257" s="56" t="s">
        <v>717</v>
      </c>
      <c r="AE257" s="58" t="s">
        <v>717</v>
      </c>
      <c r="AF257" s="59" t="s">
        <v>717</v>
      </c>
      <c r="AG257" s="60" t="s">
        <v>717</v>
      </c>
      <c r="AH257" s="61" t="s">
        <v>717</v>
      </c>
      <c r="AI257" s="64"/>
      <c r="AJ257" s="66"/>
      <c r="AK257" s="36">
        <v>7</v>
      </c>
      <c r="AL257" s="23"/>
      <c r="AM257" s="23"/>
      <c r="AN257" s="123">
        <f>N257-AK257</f>
        <v>1</v>
      </c>
      <c r="AO257" s="31">
        <f t="shared" si="7"/>
        <v>1</v>
      </c>
    </row>
    <row r="258" spans="1:41" s="3" customFormat="1" ht="14.5" x14ac:dyDescent="0.35">
      <c r="A258" s="24">
        <v>252</v>
      </c>
      <c r="B258" s="11" t="s">
        <v>5</v>
      </c>
      <c r="C258" s="15" t="s">
        <v>476</v>
      </c>
      <c r="D258" s="11">
        <v>119376</v>
      </c>
      <c r="E258" s="11">
        <v>48484</v>
      </c>
      <c r="F258" s="20" t="s">
        <v>560</v>
      </c>
      <c r="G258" s="20" t="s">
        <v>738</v>
      </c>
      <c r="H258" s="6">
        <v>28.421078000000001</v>
      </c>
      <c r="I258" s="8">
        <v>70.301880999999995</v>
      </c>
      <c r="J258" s="12" t="s">
        <v>441</v>
      </c>
      <c r="K258" s="11" t="s">
        <v>91</v>
      </c>
      <c r="L258" s="11" t="s">
        <v>433</v>
      </c>
      <c r="M258" s="11" t="s">
        <v>442</v>
      </c>
      <c r="N258" s="39">
        <f t="shared" si="5"/>
        <v>3</v>
      </c>
      <c r="O258" s="41" t="s">
        <v>592</v>
      </c>
      <c r="P258" s="42">
        <v>0</v>
      </c>
      <c r="Q258" s="43">
        <v>3</v>
      </c>
      <c r="R258" s="44">
        <v>0</v>
      </c>
      <c r="S258" s="46" t="s">
        <v>717</v>
      </c>
      <c r="T258" s="46" t="s">
        <v>717</v>
      </c>
      <c r="U258" s="46" t="s">
        <v>717</v>
      </c>
      <c r="V258" s="46" t="s">
        <v>717</v>
      </c>
      <c r="W258" s="48" t="s">
        <v>717</v>
      </c>
      <c r="X258" s="49" t="s">
        <v>717</v>
      </c>
      <c r="Y258" s="50" t="s">
        <v>717</v>
      </c>
      <c r="Z258" s="51" t="s">
        <v>717</v>
      </c>
      <c r="AA258" s="53" t="s">
        <v>717</v>
      </c>
      <c r="AB258" s="54" t="s">
        <v>717</v>
      </c>
      <c r="AC258" s="55" t="s">
        <v>717</v>
      </c>
      <c r="AD258" s="56" t="s">
        <v>717</v>
      </c>
      <c r="AE258" s="58" t="s">
        <v>717</v>
      </c>
      <c r="AF258" s="59" t="s">
        <v>717</v>
      </c>
      <c r="AG258" s="60" t="s">
        <v>717</v>
      </c>
      <c r="AH258" s="61" t="s">
        <v>717</v>
      </c>
      <c r="AI258" s="64"/>
      <c r="AJ258" s="66"/>
      <c r="AK258" s="22">
        <v>3</v>
      </c>
      <c r="AL258" s="23"/>
      <c r="AM258" s="23"/>
      <c r="AN258" s="123">
        <f>N258-AK258</f>
        <v>0</v>
      </c>
    </row>
    <row r="259" spans="1:41" s="3" customFormat="1" ht="14.5" x14ac:dyDescent="0.35">
      <c r="A259" s="24">
        <v>253</v>
      </c>
      <c r="B259" s="11" t="s">
        <v>5</v>
      </c>
      <c r="C259" s="14" t="s">
        <v>460</v>
      </c>
      <c r="D259" s="11">
        <v>117444</v>
      </c>
      <c r="E259" s="11">
        <v>48485</v>
      </c>
      <c r="F259" s="20" t="s">
        <v>560</v>
      </c>
      <c r="G259" s="20" t="s">
        <v>738</v>
      </c>
      <c r="H259" s="9">
        <v>28.433700000000002</v>
      </c>
      <c r="I259" s="9">
        <v>70.343379999999996</v>
      </c>
      <c r="J259" s="12" t="s">
        <v>13</v>
      </c>
      <c r="K259" s="11" t="s">
        <v>91</v>
      </c>
      <c r="L259" s="11" t="s">
        <v>433</v>
      </c>
      <c r="M259" s="11" t="s">
        <v>461</v>
      </c>
      <c r="N259" s="39">
        <f t="shared" si="5"/>
        <v>3</v>
      </c>
      <c r="O259" s="41" t="s">
        <v>717</v>
      </c>
      <c r="P259" s="42" t="s">
        <v>717</v>
      </c>
      <c r="Q259" s="43" t="s">
        <v>717</v>
      </c>
      <c r="R259" s="44" t="s">
        <v>717</v>
      </c>
      <c r="S259" s="46" t="s">
        <v>717</v>
      </c>
      <c r="T259" s="46" t="s">
        <v>717</v>
      </c>
      <c r="U259" s="46" t="s">
        <v>717</v>
      </c>
      <c r="V259" s="46" t="s">
        <v>717</v>
      </c>
      <c r="W259" s="48" t="s">
        <v>579</v>
      </c>
      <c r="X259" s="49">
        <v>0</v>
      </c>
      <c r="Y259" s="50">
        <v>3</v>
      </c>
      <c r="Z259" s="51">
        <v>0</v>
      </c>
      <c r="AA259" s="53" t="s">
        <v>717</v>
      </c>
      <c r="AB259" s="54" t="s">
        <v>717</v>
      </c>
      <c r="AC259" s="55" t="s">
        <v>717</v>
      </c>
      <c r="AD259" s="56" t="s">
        <v>717</v>
      </c>
      <c r="AE259" s="58" t="s">
        <v>717</v>
      </c>
      <c r="AF259" s="59" t="s">
        <v>717</v>
      </c>
      <c r="AG259" s="60" t="s">
        <v>717</v>
      </c>
      <c r="AH259" s="61" t="s">
        <v>717</v>
      </c>
      <c r="AI259" s="64"/>
      <c r="AJ259" s="66"/>
      <c r="AK259" s="22" t="s">
        <v>717</v>
      </c>
      <c r="AL259" s="23"/>
      <c r="AM259" s="23"/>
    </row>
    <row r="260" spans="1:41" s="3" customFormat="1" ht="14.5" x14ac:dyDescent="0.35">
      <c r="A260" s="24">
        <v>254</v>
      </c>
      <c r="B260" s="11" t="s">
        <v>5</v>
      </c>
      <c r="C260" s="11" t="s">
        <v>331</v>
      </c>
      <c r="D260" s="11">
        <v>117474</v>
      </c>
      <c r="E260" s="11">
        <v>48486</v>
      </c>
      <c r="F260" s="20" t="s">
        <v>560</v>
      </c>
      <c r="G260" s="20" t="s">
        <v>738</v>
      </c>
      <c r="H260" s="9">
        <v>28.415938000000001</v>
      </c>
      <c r="I260" s="9">
        <v>70.333487000000005</v>
      </c>
      <c r="J260" s="12" t="s">
        <v>13</v>
      </c>
      <c r="K260" s="11" t="s">
        <v>91</v>
      </c>
      <c r="L260" s="11" t="s">
        <v>433</v>
      </c>
      <c r="M260" s="11" t="s">
        <v>538</v>
      </c>
      <c r="N260" s="39">
        <f t="shared" si="5"/>
        <v>4</v>
      </c>
      <c r="O260" s="41" t="s">
        <v>592</v>
      </c>
      <c r="P260" s="42" t="s">
        <v>717</v>
      </c>
      <c r="Q260" s="43">
        <v>3</v>
      </c>
      <c r="R260" s="44" t="s">
        <v>717</v>
      </c>
      <c r="S260" s="46" t="s">
        <v>717</v>
      </c>
      <c r="T260" s="46" t="s">
        <v>717</v>
      </c>
      <c r="U260" s="46" t="s">
        <v>717</v>
      </c>
      <c r="V260" s="46" t="s">
        <v>717</v>
      </c>
      <c r="W260" s="48" t="s">
        <v>713</v>
      </c>
      <c r="X260" s="49" t="s">
        <v>717</v>
      </c>
      <c r="Y260" s="50">
        <v>1</v>
      </c>
      <c r="Z260" s="51" t="s">
        <v>717</v>
      </c>
      <c r="AA260" s="53" t="s">
        <v>717</v>
      </c>
      <c r="AB260" s="54" t="s">
        <v>717</v>
      </c>
      <c r="AC260" s="55" t="s">
        <v>717</v>
      </c>
      <c r="AD260" s="56" t="s">
        <v>717</v>
      </c>
      <c r="AE260" s="58" t="s">
        <v>717</v>
      </c>
      <c r="AF260" s="59" t="s">
        <v>717</v>
      </c>
      <c r="AG260" s="60" t="s">
        <v>717</v>
      </c>
      <c r="AH260" s="61" t="s">
        <v>717</v>
      </c>
      <c r="AI260" s="64"/>
      <c r="AJ260" s="66"/>
      <c r="AK260" s="36">
        <v>3</v>
      </c>
      <c r="AL260" s="23"/>
      <c r="AM260" s="23"/>
      <c r="AN260" s="123">
        <f>N260-AK260</f>
        <v>1</v>
      </c>
      <c r="AO260" s="31">
        <f>SUM(P260:R260)-AK260</f>
        <v>0</v>
      </c>
    </row>
    <row r="261" spans="1:41" s="3" customFormat="1" ht="14.5" x14ac:dyDescent="0.35">
      <c r="A261" s="24">
        <v>255</v>
      </c>
      <c r="B261" s="11" t="s">
        <v>5</v>
      </c>
      <c r="C261" s="11" t="s">
        <v>456</v>
      </c>
      <c r="D261" s="11">
        <v>117859</v>
      </c>
      <c r="E261" s="11">
        <v>48487</v>
      </c>
      <c r="F261" s="20" t="s">
        <v>560</v>
      </c>
      <c r="G261" s="20" t="s">
        <v>738</v>
      </c>
      <c r="H261" s="6">
        <v>29.659146700000001</v>
      </c>
      <c r="I261" s="6">
        <v>71.687301700000006</v>
      </c>
      <c r="J261" s="12" t="s">
        <v>14</v>
      </c>
      <c r="K261" s="11" t="s">
        <v>14</v>
      </c>
      <c r="L261" s="11" t="s">
        <v>433</v>
      </c>
      <c r="M261" s="11" t="s">
        <v>457</v>
      </c>
      <c r="N261" s="39">
        <f t="shared" si="5"/>
        <v>4</v>
      </c>
      <c r="O261" s="41" t="s">
        <v>717</v>
      </c>
      <c r="P261" s="42" t="s">
        <v>717</v>
      </c>
      <c r="Q261" s="43" t="s">
        <v>717</v>
      </c>
      <c r="R261" s="44" t="s">
        <v>717</v>
      </c>
      <c r="S261" s="46" t="s">
        <v>717</v>
      </c>
      <c r="T261" s="46" t="s">
        <v>717</v>
      </c>
      <c r="U261" s="46" t="s">
        <v>717</v>
      </c>
      <c r="V261" s="46" t="s">
        <v>717</v>
      </c>
      <c r="W261" s="48" t="s">
        <v>613</v>
      </c>
      <c r="X261" s="49">
        <v>0</v>
      </c>
      <c r="Y261" s="50">
        <v>4</v>
      </c>
      <c r="Z261" s="51">
        <v>0</v>
      </c>
      <c r="AA261" s="53" t="s">
        <v>717</v>
      </c>
      <c r="AB261" s="54" t="s">
        <v>717</v>
      </c>
      <c r="AC261" s="55" t="s">
        <v>717</v>
      </c>
      <c r="AD261" s="56" t="s">
        <v>717</v>
      </c>
      <c r="AE261" s="58" t="s">
        <v>717</v>
      </c>
      <c r="AF261" s="59" t="s">
        <v>717</v>
      </c>
      <c r="AG261" s="60" t="s">
        <v>717</v>
      </c>
      <c r="AH261" s="61" t="s">
        <v>717</v>
      </c>
      <c r="AI261" s="64"/>
      <c r="AJ261" s="66"/>
      <c r="AK261" s="22" t="s">
        <v>717</v>
      </c>
      <c r="AL261" s="23"/>
      <c r="AM261" s="23"/>
    </row>
    <row r="262" spans="1:41" s="3" customFormat="1" ht="14.5" x14ac:dyDescent="0.35">
      <c r="A262" s="24">
        <v>256</v>
      </c>
      <c r="B262" s="11" t="s">
        <v>5</v>
      </c>
      <c r="C262" s="12" t="s">
        <v>470</v>
      </c>
      <c r="D262" s="11">
        <v>118374</v>
      </c>
      <c r="E262" s="11">
        <v>48491</v>
      </c>
      <c r="F262" s="20" t="s">
        <v>560</v>
      </c>
      <c r="G262" s="20" t="s">
        <v>738</v>
      </c>
      <c r="H262" s="6">
        <v>29.5268336</v>
      </c>
      <c r="I262" s="6">
        <v>71.642101499999995</v>
      </c>
      <c r="J262" s="12" t="s">
        <v>411</v>
      </c>
      <c r="K262" s="11" t="s">
        <v>6</v>
      </c>
      <c r="L262" s="11" t="s">
        <v>433</v>
      </c>
      <c r="M262" s="11" t="s">
        <v>471</v>
      </c>
      <c r="N262" s="39">
        <f t="shared" si="5"/>
        <v>5</v>
      </c>
      <c r="O262" s="41" t="s">
        <v>717</v>
      </c>
      <c r="P262" s="42" t="s">
        <v>717</v>
      </c>
      <c r="Q262" s="43" t="s">
        <v>717</v>
      </c>
      <c r="R262" s="44" t="s">
        <v>717</v>
      </c>
      <c r="S262" s="46" t="s">
        <v>717</v>
      </c>
      <c r="T262" s="46" t="s">
        <v>717</v>
      </c>
      <c r="U262" s="46" t="s">
        <v>717</v>
      </c>
      <c r="V262" s="46" t="s">
        <v>717</v>
      </c>
      <c r="W262" s="48" t="s">
        <v>614</v>
      </c>
      <c r="X262" s="49">
        <v>0</v>
      </c>
      <c r="Y262" s="50">
        <v>3</v>
      </c>
      <c r="Z262" s="51">
        <v>0</v>
      </c>
      <c r="AA262" s="53" t="s">
        <v>717</v>
      </c>
      <c r="AB262" s="54" t="s">
        <v>717</v>
      </c>
      <c r="AC262" s="55" t="s">
        <v>717</v>
      </c>
      <c r="AD262" s="56" t="s">
        <v>717</v>
      </c>
      <c r="AE262" s="58" t="s">
        <v>717</v>
      </c>
      <c r="AF262" s="59" t="s">
        <v>717</v>
      </c>
      <c r="AG262" s="60" t="s">
        <v>717</v>
      </c>
      <c r="AH262" s="61" t="s">
        <v>717</v>
      </c>
      <c r="AI262" s="64">
        <v>2</v>
      </c>
      <c r="AJ262" s="66"/>
      <c r="AK262" s="22" t="s">
        <v>717</v>
      </c>
      <c r="AL262" s="23"/>
      <c r="AM262" s="23" t="s">
        <v>648</v>
      </c>
    </row>
    <row r="263" spans="1:41" s="3" customFormat="1" ht="14.5" x14ac:dyDescent="0.35">
      <c r="A263" s="24">
        <v>257</v>
      </c>
      <c r="B263" s="11" t="s">
        <v>5</v>
      </c>
      <c r="C263" s="12" t="s">
        <v>451</v>
      </c>
      <c r="D263" s="11">
        <v>118970</v>
      </c>
      <c r="E263" s="11">
        <v>48493</v>
      </c>
      <c r="F263" s="20" t="s">
        <v>560</v>
      </c>
      <c r="G263" s="20" t="s">
        <v>738</v>
      </c>
      <c r="H263" s="6">
        <v>29.244084099999998</v>
      </c>
      <c r="I263" s="6">
        <v>71.040432499999994</v>
      </c>
      <c r="J263" s="12" t="s">
        <v>452</v>
      </c>
      <c r="K263" s="11" t="s">
        <v>6</v>
      </c>
      <c r="L263" s="11" t="s">
        <v>433</v>
      </c>
      <c r="M263" s="11" t="s">
        <v>453</v>
      </c>
      <c r="N263" s="39">
        <f t="shared" si="5"/>
        <v>4</v>
      </c>
      <c r="O263" s="41" t="s">
        <v>717</v>
      </c>
      <c r="P263" s="42" t="s">
        <v>717</v>
      </c>
      <c r="Q263" s="43" t="s">
        <v>717</v>
      </c>
      <c r="R263" s="44" t="s">
        <v>717</v>
      </c>
      <c r="S263" s="46" t="s">
        <v>717</v>
      </c>
      <c r="T263" s="46" t="s">
        <v>717</v>
      </c>
      <c r="U263" s="46" t="s">
        <v>717</v>
      </c>
      <c r="V263" s="46" t="s">
        <v>717</v>
      </c>
      <c r="W263" s="48" t="s">
        <v>613</v>
      </c>
      <c r="X263" s="49">
        <v>0</v>
      </c>
      <c r="Y263" s="50">
        <v>4</v>
      </c>
      <c r="Z263" s="51">
        <v>0</v>
      </c>
      <c r="AA263" s="53" t="s">
        <v>717</v>
      </c>
      <c r="AB263" s="54" t="s">
        <v>717</v>
      </c>
      <c r="AC263" s="55" t="s">
        <v>717</v>
      </c>
      <c r="AD263" s="56" t="s">
        <v>717</v>
      </c>
      <c r="AE263" s="58" t="s">
        <v>717</v>
      </c>
      <c r="AF263" s="59" t="s">
        <v>717</v>
      </c>
      <c r="AG263" s="60" t="s">
        <v>717</v>
      </c>
      <c r="AH263" s="61" t="s">
        <v>717</v>
      </c>
      <c r="AI263" s="64"/>
      <c r="AJ263" s="66"/>
      <c r="AK263" s="22" t="s">
        <v>717</v>
      </c>
      <c r="AL263" s="23"/>
      <c r="AM263" s="23"/>
    </row>
    <row r="264" spans="1:41" s="3" customFormat="1" ht="14.5" x14ac:dyDescent="0.35">
      <c r="A264" s="24">
        <v>258</v>
      </c>
      <c r="B264" s="11" t="s">
        <v>5</v>
      </c>
      <c r="C264" s="11" t="s">
        <v>541</v>
      </c>
      <c r="D264" s="11">
        <v>119095</v>
      </c>
      <c r="E264" s="11">
        <v>48496</v>
      </c>
      <c r="F264" s="20" t="s">
        <v>560</v>
      </c>
      <c r="G264" s="20" t="s">
        <v>739</v>
      </c>
      <c r="H264" s="9">
        <v>28.346920000000001</v>
      </c>
      <c r="I264" s="9">
        <v>70.109719999999996</v>
      </c>
      <c r="J264" s="12" t="s">
        <v>102</v>
      </c>
      <c r="K264" s="11" t="s">
        <v>91</v>
      </c>
      <c r="L264" s="11" t="s">
        <v>433</v>
      </c>
      <c r="M264" s="11" t="s">
        <v>542</v>
      </c>
      <c r="N264" s="39">
        <f t="shared" ref="N264:N268" si="8">SUM(P264:R264,T264:V264,X264:Z264,AB264:AD264,AF264:AH264,,,,,AI264:AJ264,)</f>
        <v>3</v>
      </c>
      <c r="O264" s="41" t="s">
        <v>592</v>
      </c>
      <c r="P264" s="42">
        <v>0</v>
      </c>
      <c r="Q264" s="43">
        <v>3</v>
      </c>
      <c r="R264" s="44">
        <v>0</v>
      </c>
      <c r="S264" s="46" t="s">
        <v>717</v>
      </c>
      <c r="T264" s="46" t="s">
        <v>717</v>
      </c>
      <c r="U264" s="46" t="s">
        <v>717</v>
      </c>
      <c r="V264" s="46" t="s">
        <v>717</v>
      </c>
      <c r="W264" s="48" t="s">
        <v>717</v>
      </c>
      <c r="X264" s="49" t="s">
        <v>717</v>
      </c>
      <c r="Y264" s="50" t="s">
        <v>717</v>
      </c>
      <c r="Z264" s="51" t="s">
        <v>717</v>
      </c>
      <c r="AA264" s="53" t="s">
        <v>717</v>
      </c>
      <c r="AB264" s="54" t="s">
        <v>717</v>
      </c>
      <c r="AC264" s="55" t="s">
        <v>717</v>
      </c>
      <c r="AD264" s="56" t="s">
        <v>717</v>
      </c>
      <c r="AE264" s="58" t="s">
        <v>717</v>
      </c>
      <c r="AF264" s="59" t="s">
        <v>717</v>
      </c>
      <c r="AG264" s="60" t="s">
        <v>717</v>
      </c>
      <c r="AH264" s="61" t="s">
        <v>717</v>
      </c>
      <c r="AI264" s="64"/>
      <c r="AJ264" s="66"/>
      <c r="AK264" s="22">
        <v>3</v>
      </c>
      <c r="AL264" s="23"/>
      <c r="AM264" s="23"/>
      <c r="AN264" s="123">
        <f>N264-AK264</f>
        <v>0</v>
      </c>
    </row>
    <row r="265" spans="1:41" s="3" customFormat="1" ht="14.5" x14ac:dyDescent="0.35">
      <c r="A265" s="24">
        <v>259</v>
      </c>
      <c r="B265" s="11" t="s">
        <v>5</v>
      </c>
      <c r="C265" s="11" t="s">
        <v>576</v>
      </c>
      <c r="D265" s="11">
        <v>119090</v>
      </c>
      <c r="E265" s="11">
        <v>48498</v>
      </c>
      <c r="F265" s="20" t="s">
        <v>560</v>
      </c>
      <c r="G265" s="20" t="s">
        <v>738</v>
      </c>
      <c r="H265" s="6"/>
      <c r="I265" s="6"/>
      <c r="J265" s="12"/>
      <c r="K265" s="11"/>
      <c r="L265" s="11"/>
      <c r="M265" s="11"/>
      <c r="N265" s="39">
        <f t="shared" si="8"/>
        <v>2</v>
      </c>
      <c r="O265" s="41" t="s">
        <v>717</v>
      </c>
      <c r="P265" s="42" t="s">
        <v>717</v>
      </c>
      <c r="Q265" s="43" t="s">
        <v>717</v>
      </c>
      <c r="R265" s="44" t="s">
        <v>717</v>
      </c>
      <c r="S265" s="46" t="s">
        <v>605</v>
      </c>
      <c r="T265" s="46">
        <v>1</v>
      </c>
      <c r="U265" s="46">
        <v>1</v>
      </c>
      <c r="V265" s="46">
        <v>0</v>
      </c>
      <c r="W265" s="48" t="s">
        <v>717</v>
      </c>
      <c r="X265" s="49" t="s">
        <v>717</v>
      </c>
      <c r="Y265" s="50" t="s">
        <v>717</v>
      </c>
      <c r="Z265" s="51" t="s">
        <v>717</v>
      </c>
      <c r="AA265" s="53" t="s">
        <v>717</v>
      </c>
      <c r="AB265" s="54" t="s">
        <v>717</v>
      </c>
      <c r="AC265" s="55" t="s">
        <v>717</v>
      </c>
      <c r="AD265" s="56" t="s">
        <v>717</v>
      </c>
      <c r="AE265" s="58" t="s">
        <v>717</v>
      </c>
      <c r="AF265" s="59" t="s">
        <v>717</v>
      </c>
      <c r="AG265" s="60" t="s">
        <v>717</v>
      </c>
      <c r="AH265" s="61" t="s">
        <v>717</v>
      </c>
      <c r="AI265" s="64"/>
      <c r="AJ265" s="66"/>
      <c r="AK265" s="22" t="s">
        <v>717</v>
      </c>
      <c r="AL265" s="23"/>
      <c r="AM265" s="23"/>
    </row>
    <row r="266" spans="1:41" s="3" customFormat="1" ht="14.5" x14ac:dyDescent="0.35">
      <c r="A266" s="24">
        <v>260</v>
      </c>
      <c r="B266" s="11" t="s">
        <v>5</v>
      </c>
      <c r="C266" s="12" t="s">
        <v>430</v>
      </c>
      <c r="D266" s="10">
        <v>119099</v>
      </c>
      <c r="E266" s="11">
        <v>48499</v>
      </c>
      <c r="F266" s="20" t="s">
        <v>560</v>
      </c>
      <c r="G266" s="20" t="s">
        <v>738</v>
      </c>
      <c r="H266" s="6">
        <v>29.327770000000001</v>
      </c>
      <c r="I266" s="6">
        <v>71.678259999999995</v>
      </c>
      <c r="J266" s="12" t="s">
        <v>6</v>
      </c>
      <c r="K266" s="11" t="s">
        <v>6</v>
      </c>
      <c r="L266" s="11" t="s">
        <v>433</v>
      </c>
      <c r="M266" s="11" t="s">
        <v>531</v>
      </c>
      <c r="N266" s="39">
        <f t="shared" si="8"/>
        <v>4</v>
      </c>
      <c r="O266" s="41" t="s">
        <v>717</v>
      </c>
      <c r="P266" s="42" t="s">
        <v>717</v>
      </c>
      <c r="Q266" s="43" t="s">
        <v>717</v>
      </c>
      <c r="R266" s="44" t="s">
        <v>717</v>
      </c>
      <c r="S266" s="46" t="s">
        <v>605</v>
      </c>
      <c r="T266" s="46">
        <v>1</v>
      </c>
      <c r="U266" s="46">
        <v>1</v>
      </c>
      <c r="V266" s="46">
        <v>0</v>
      </c>
      <c r="W266" s="48" t="s">
        <v>717</v>
      </c>
      <c r="X266" s="49" t="s">
        <v>717</v>
      </c>
      <c r="Y266" s="50" t="s">
        <v>717</v>
      </c>
      <c r="Z266" s="51" t="s">
        <v>717</v>
      </c>
      <c r="AA266" s="53" t="s">
        <v>717</v>
      </c>
      <c r="AB266" s="54" t="s">
        <v>717</v>
      </c>
      <c r="AC266" s="55" t="s">
        <v>717</v>
      </c>
      <c r="AD266" s="56" t="s">
        <v>717</v>
      </c>
      <c r="AE266" s="58" t="s">
        <v>717</v>
      </c>
      <c r="AF266" s="59" t="s">
        <v>717</v>
      </c>
      <c r="AG266" s="60" t="s">
        <v>717</v>
      </c>
      <c r="AH266" s="61" t="s">
        <v>717</v>
      </c>
      <c r="AI266" s="64">
        <v>2</v>
      </c>
      <c r="AJ266" s="66"/>
      <c r="AK266" s="22" t="s">
        <v>717</v>
      </c>
      <c r="AL266" s="23"/>
      <c r="AM266" s="23" t="s">
        <v>689</v>
      </c>
    </row>
    <row r="267" spans="1:41" s="3" customFormat="1" ht="14" customHeight="1" x14ac:dyDescent="0.35">
      <c r="A267" s="24">
        <v>261</v>
      </c>
      <c r="B267" s="11" t="s">
        <v>5</v>
      </c>
      <c r="C267" s="11" t="s">
        <v>454</v>
      </c>
      <c r="D267" s="11">
        <v>119113</v>
      </c>
      <c r="E267" s="11">
        <v>48500</v>
      </c>
      <c r="F267" s="20" t="s">
        <v>560</v>
      </c>
      <c r="G267" s="20" t="s">
        <v>739</v>
      </c>
      <c r="H267" s="6">
        <v>28.500328</v>
      </c>
      <c r="I267" s="6">
        <v>70.057595000000006</v>
      </c>
      <c r="J267" s="12" t="s">
        <v>102</v>
      </c>
      <c r="K267" s="11" t="s">
        <v>91</v>
      </c>
      <c r="L267" s="11" t="s">
        <v>433</v>
      </c>
      <c r="M267" s="11" t="s">
        <v>455</v>
      </c>
      <c r="N267" s="39">
        <f t="shared" si="8"/>
        <v>3</v>
      </c>
      <c r="O267" s="41" t="s">
        <v>592</v>
      </c>
      <c r="P267" s="42">
        <v>0</v>
      </c>
      <c r="Q267" s="43">
        <v>3</v>
      </c>
      <c r="R267" s="44">
        <v>0</v>
      </c>
      <c r="S267" s="46" t="s">
        <v>717</v>
      </c>
      <c r="T267" s="46" t="s">
        <v>717</v>
      </c>
      <c r="U267" s="46" t="s">
        <v>717</v>
      </c>
      <c r="V267" s="46" t="s">
        <v>717</v>
      </c>
      <c r="W267" s="48" t="s">
        <v>717</v>
      </c>
      <c r="X267" s="49" t="s">
        <v>717</v>
      </c>
      <c r="Y267" s="50" t="s">
        <v>717</v>
      </c>
      <c r="Z267" s="51" t="s">
        <v>717</v>
      </c>
      <c r="AA267" s="53" t="s">
        <v>717</v>
      </c>
      <c r="AB267" s="54" t="s">
        <v>717</v>
      </c>
      <c r="AC267" s="55" t="s">
        <v>717</v>
      </c>
      <c r="AD267" s="56" t="s">
        <v>717</v>
      </c>
      <c r="AE267" s="58" t="s">
        <v>717</v>
      </c>
      <c r="AF267" s="59" t="s">
        <v>717</v>
      </c>
      <c r="AG267" s="60" t="s">
        <v>717</v>
      </c>
      <c r="AH267" s="61" t="s">
        <v>717</v>
      </c>
      <c r="AI267" s="64"/>
      <c r="AJ267" s="66"/>
      <c r="AK267" s="22">
        <v>3</v>
      </c>
      <c r="AL267" s="23"/>
      <c r="AM267" s="23"/>
      <c r="AN267" s="123">
        <f>N267-AK267</f>
        <v>0</v>
      </c>
    </row>
    <row r="268" spans="1:41" s="3" customFormat="1" ht="14" customHeight="1" x14ac:dyDescent="0.35">
      <c r="A268" s="24">
        <v>262</v>
      </c>
      <c r="B268" s="11" t="s">
        <v>5</v>
      </c>
      <c r="C268" s="11" t="s">
        <v>462</v>
      </c>
      <c r="D268" s="11">
        <v>119129</v>
      </c>
      <c r="E268" s="11">
        <v>48503</v>
      </c>
      <c r="F268" s="20" t="s">
        <v>560</v>
      </c>
      <c r="G268" s="20" t="s">
        <v>738</v>
      </c>
      <c r="H268" s="6">
        <v>29.993120000000001</v>
      </c>
      <c r="I268" s="9">
        <v>71.844725999999994</v>
      </c>
      <c r="J268" s="12" t="s">
        <v>463</v>
      </c>
      <c r="K268" s="11" t="s">
        <v>21</v>
      </c>
      <c r="L268" s="11" t="s">
        <v>433</v>
      </c>
      <c r="M268" s="11" t="s">
        <v>464</v>
      </c>
      <c r="N268" s="39">
        <f t="shared" si="8"/>
        <v>4</v>
      </c>
      <c r="O268" s="41" t="s">
        <v>717</v>
      </c>
      <c r="P268" s="42" t="s">
        <v>717</v>
      </c>
      <c r="Q268" s="43" t="s">
        <v>717</v>
      </c>
      <c r="R268" s="44" t="s">
        <v>717</v>
      </c>
      <c r="S268" s="46" t="s">
        <v>717</v>
      </c>
      <c r="T268" s="46" t="s">
        <v>717</v>
      </c>
      <c r="U268" s="46" t="s">
        <v>717</v>
      </c>
      <c r="V268" s="46" t="s">
        <v>717</v>
      </c>
      <c r="W268" s="48" t="s">
        <v>614</v>
      </c>
      <c r="X268" s="49">
        <v>0</v>
      </c>
      <c r="Y268" s="50">
        <v>3</v>
      </c>
      <c r="Z268" s="51">
        <v>0</v>
      </c>
      <c r="AA268" s="53" t="s">
        <v>717</v>
      </c>
      <c r="AB268" s="54" t="s">
        <v>717</v>
      </c>
      <c r="AC268" s="55" t="s">
        <v>717</v>
      </c>
      <c r="AD268" s="56" t="s">
        <v>717</v>
      </c>
      <c r="AE268" s="58" t="s">
        <v>717</v>
      </c>
      <c r="AF268" s="59" t="s">
        <v>717</v>
      </c>
      <c r="AG268" s="60" t="s">
        <v>717</v>
      </c>
      <c r="AH268" s="61" t="s">
        <v>717</v>
      </c>
      <c r="AI268" s="64">
        <v>1</v>
      </c>
      <c r="AJ268" s="66"/>
      <c r="AK268" s="22" t="s">
        <v>717</v>
      </c>
      <c r="AL268" s="23"/>
      <c r="AM268" s="23" t="s">
        <v>686</v>
      </c>
    </row>
    <row r="269" spans="1:41" s="3" customFormat="1" ht="14" customHeight="1" x14ac:dyDescent="0.35">
      <c r="A269" s="24">
        <v>263</v>
      </c>
      <c r="B269" s="11" t="s">
        <v>5</v>
      </c>
      <c r="C269" s="11" t="s">
        <v>546</v>
      </c>
      <c r="D269" s="11">
        <v>119383</v>
      </c>
      <c r="E269" s="11">
        <v>48504</v>
      </c>
      <c r="F269" s="20" t="s">
        <v>560</v>
      </c>
      <c r="G269" s="20" t="s">
        <v>738</v>
      </c>
      <c r="H269" s="9">
        <v>29.394780000000001</v>
      </c>
      <c r="I269" s="9">
        <v>71.637609999999995</v>
      </c>
      <c r="J269" s="12" t="s">
        <v>6</v>
      </c>
      <c r="K269" s="11" t="s">
        <v>6</v>
      </c>
      <c r="L269" s="11" t="s">
        <v>433</v>
      </c>
      <c r="M269" s="11" t="s">
        <v>547</v>
      </c>
      <c r="N269" s="39">
        <f>SUM(P269:R269,T269:V269,X269:Z269,AB269:AD269,AF269:AH269,,,,,AI269:AJ269,)</f>
        <v>3</v>
      </c>
      <c r="O269" s="41" t="s">
        <v>717</v>
      </c>
      <c r="P269" s="42" t="s">
        <v>717</v>
      </c>
      <c r="Q269" s="43" t="s">
        <v>717</v>
      </c>
      <c r="R269" s="44" t="s">
        <v>717</v>
      </c>
      <c r="S269" s="46" t="s">
        <v>717</v>
      </c>
      <c r="T269" s="46" t="s">
        <v>717</v>
      </c>
      <c r="U269" s="46" t="s">
        <v>717</v>
      </c>
      <c r="V269" s="46" t="s">
        <v>717</v>
      </c>
      <c r="W269" s="48" t="s">
        <v>717</v>
      </c>
      <c r="X269" s="49" t="s">
        <v>717</v>
      </c>
      <c r="Y269" s="50" t="s">
        <v>717</v>
      </c>
      <c r="Z269" s="51" t="s">
        <v>717</v>
      </c>
      <c r="AA269" s="53" t="s">
        <v>717</v>
      </c>
      <c r="AB269" s="54" t="s">
        <v>717</v>
      </c>
      <c r="AC269" s="55" t="s">
        <v>717</v>
      </c>
      <c r="AD269" s="56" t="s">
        <v>717</v>
      </c>
      <c r="AE269" s="58" t="s">
        <v>717</v>
      </c>
      <c r="AF269" s="59" t="s">
        <v>717</v>
      </c>
      <c r="AG269" s="60" t="s">
        <v>717</v>
      </c>
      <c r="AH269" s="61" t="s">
        <v>717</v>
      </c>
      <c r="AI269" s="64">
        <v>3</v>
      </c>
      <c r="AJ269" s="66"/>
      <c r="AK269" s="22" t="s">
        <v>717</v>
      </c>
      <c r="AL269" s="23"/>
      <c r="AM269" s="23" t="s">
        <v>700</v>
      </c>
    </row>
    <row r="270" spans="1:41" s="3" customFormat="1" ht="77.5" customHeight="1" x14ac:dyDescent="0.35">
      <c r="A270" s="25"/>
      <c r="B270" s="26"/>
      <c r="C270" s="26"/>
      <c r="D270" s="26"/>
      <c r="E270" s="26"/>
      <c r="F270" s="27"/>
      <c r="G270" s="27"/>
      <c r="H270" s="38"/>
      <c r="I270" s="38"/>
      <c r="J270" s="29"/>
      <c r="K270" s="26"/>
      <c r="L270" s="26"/>
      <c r="M270" s="72" t="s">
        <v>707</v>
      </c>
      <c r="N270" s="73">
        <f>SUM(P270:R270,T270:V270,X270:Z270,AB270:AD270,AF270:AH270,,,,,AI270:AJ270,)</f>
        <v>912</v>
      </c>
      <c r="O270" s="74"/>
      <c r="P270" s="74">
        <f>SUM(P7:P269)</f>
        <v>1</v>
      </c>
      <c r="Q270" s="74">
        <f t="shared" ref="Q270:R270" si="9">SUM(Q7:Q269)</f>
        <v>328</v>
      </c>
      <c r="R270" s="75">
        <f t="shared" si="9"/>
        <v>6</v>
      </c>
      <c r="S270" s="74"/>
      <c r="T270" s="74">
        <f>SUM(T7:T269)</f>
        <v>29</v>
      </c>
      <c r="U270" s="74">
        <f t="shared" ref="U270:V270" si="10">SUM(U7:U269)</f>
        <v>136</v>
      </c>
      <c r="V270" s="75">
        <f t="shared" si="10"/>
        <v>4</v>
      </c>
      <c r="W270" s="74"/>
      <c r="X270" s="74">
        <f t="shared" ref="X270:Z270" si="11">SUM(X7:X269)</f>
        <v>0</v>
      </c>
      <c r="Y270" s="74">
        <f t="shared" si="11"/>
        <v>18</v>
      </c>
      <c r="Z270" s="75">
        <f t="shared" si="11"/>
        <v>0</v>
      </c>
      <c r="AA270" s="74"/>
      <c r="AB270" s="74">
        <f t="shared" ref="AB270:AD270" si="12">SUM(AB7:AB269)</f>
        <v>0</v>
      </c>
      <c r="AC270" s="74">
        <f t="shared" si="12"/>
        <v>7</v>
      </c>
      <c r="AD270" s="75">
        <f t="shared" si="12"/>
        <v>0</v>
      </c>
      <c r="AE270" s="74"/>
      <c r="AF270" s="74">
        <f t="shared" ref="AF270" si="13">SUM(AF7:AF269)</f>
        <v>0</v>
      </c>
      <c r="AG270" s="74">
        <f t="shared" ref="AG270" si="14">SUM(AG7:AG269)</f>
        <v>4</v>
      </c>
      <c r="AH270" s="74">
        <f t="shared" ref="AH270" si="15">SUM(AH7:AH269)</f>
        <v>0</v>
      </c>
      <c r="AI270" s="74">
        <f t="shared" ref="AI270:AJ270" si="16">SUM(AI7:AI269)</f>
        <v>378</v>
      </c>
      <c r="AJ270" s="74">
        <f t="shared" si="16"/>
        <v>1</v>
      </c>
      <c r="AK270" s="31"/>
    </row>
    <row r="271" spans="1:41" s="3" customFormat="1" ht="32.5" x14ac:dyDescent="0.35">
      <c r="A271" s="25"/>
      <c r="B271" s="26"/>
      <c r="C271" s="26"/>
      <c r="D271" s="26"/>
      <c r="E271" s="26"/>
      <c r="F271" s="27"/>
      <c r="G271" s="27"/>
      <c r="H271" s="28"/>
      <c r="I271" s="28"/>
      <c r="J271" s="29"/>
      <c r="K271" s="26"/>
      <c r="L271" s="26"/>
      <c r="M271" s="26"/>
      <c r="N271" s="26"/>
      <c r="O271" s="30"/>
      <c r="P271" s="133">
        <f>SUM(P270:R270)</f>
        <v>335</v>
      </c>
      <c r="Q271" s="133"/>
      <c r="R271" s="133"/>
      <c r="S271" s="30"/>
      <c r="T271" s="133">
        <f>SUM(T270:V270)</f>
        <v>169</v>
      </c>
      <c r="U271" s="133"/>
      <c r="V271" s="133"/>
      <c r="W271" s="30"/>
      <c r="X271" s="133">
        <f>SUM(X270:Z270)</f>
        <v>18</v>
      </c>
      <c r="Y271" s="133"/>
      <c r="Z271" s="133"/>
      <c r="AA271" s="30"/>
      <c r="AB271" s="133">
        <f>SUM(AB270:AD270)</f>
        <v>7</v>
      </c>
      <c r="AC271" s="133"/>
      <c r="AD271" s="133"/>
      <c r="AE271" s="30"/>
      <c r="AF271" s="133">
        <f>SUM(AF270:AH270)</f>
        <v>4</v>
      </c>
      <c r="AG271" s="133"/>
      <c r="AH271" s="133"/>
      <c r="AI271" s="133">
        <f>SUM(AI270:AK270)</f>
        <v>379</v>
      </c>
      <c r="AJ271" s="133"/>
      <c r="AK271" s="133"/>
    </row>
    <row r="272" spans="1:41" s="3" customFormat="1" ht="14.5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 s="34"/>
      <c r="AJ272"/>
      <c r="AK272"/>
      <c r="AL272"/>
      <c r="AM272"/>
      <c r="AN272"/>
      <c r="AO272"/>
    </row>
    <row r="273" spans="1:41" s="3" customFormat="1" ht="14.5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 s="34"/>
      <c r="AJ273"/>
      <c r="AK273"/>
      <c r="AL273"/>
      <c r="AM273"/>
      <c r="AN273"/>
      <c r="AO273"/>
    </row>
    <row r="274" spans="1:41" s="3" customFormat="1" ht="14.5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 s="34"/>
      <c r="AJ274"/>
      <c r="AK274"/>
      <c r="AL274"/>
      <c r="AM274"/>
      <c r="AN274"/>
      <c r="AO274"/>
    </row>
    <row r="275" spans="1:41" s="3" customFormat="1" ht="14.5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 s="34"/>
      <c r="AJ275"/>
      <c r="AK275"/>
      <c r="AL275"/>
      <c r="AM275"/>
      <c r="AN275"/>
      <c r="AO275"/>
    </row>
    <row r="276" spans="1:41" s="3" customFormat="1" ht="14.5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 s="34"/>
      <c r="AJ276"/>
      <c r="AK276"/>
      <c r="AL276"/>
      <c r="AM276"/>
      <c r="AN276"/>
      <c r="AO276"/>
    </row>
    <row r="277" spans="1:41" s="3" customFormat="1" ht="14.5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 s="34"/>
      <c r="AJ277"/>
      <c r="AK277"/>
      <c r="AL277"/>
      <c r="AM277"/>
      <c r="AN277"/>
      <c r="AO277"/>
    </row>
    <row r="278" spans="1:41" s="3" customFormat="1" ht="14.5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 s="34"/>
      <c r="AJ278"/>
      <c r="AK278"/>
      <c r="AL278"/>
      <c r="AM278"/>
      <c r="AN278"/>
      <c r="AO278"/>
    </row>
    <row r="279" spans="1:41" s="3" customFormat="1" ht="14.5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 s="34"/>
      <c r="AJ279"/>
      <c r="AK279"/>
      <c r="AL279"/>
      <c r="AM279"/>
      <c r="AN279"/>
      <c r="AO279"/>
    </row>
    <row r="280" spans="1:41" s="3" customFormat="1" ht="14.5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 s="34"/>
      <c r="AJ280"/>
      <c r="AK280"/>
      <c r="AL280"/>
      <c r="AM280"/>
      <c r="AN280"/>
      <c r="AO280"/>
    </row>
    <row r="281" spans="1:41" s="3" customFormat="1" ht="14.5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 s="34"/>
      <c r="AJ281"/>
      <c r="AK281"/>
      <c r="AL281"/>
      <c r="AM281"/>
      <c r="AN281"/>
      <c r="AO281"/>
    </row>
    <row r="282" spans="1:41" s="3" customFormat="1" ht="14.5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 s="34"/>
      <c r="AJ282"/>
      <c r="AK282"/>
      <c r="AL282"/>
      <c r="AM282"/>
      <c r="AN282"/>
      <c r="AO282"/>
    </row>
    <row r="283" spans="1:41" s="3" customFormat="1" ht="14.5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 s="34"/>
      <c r="AJ283"/>
      <c r="AK283"/>
      <c r="AL283"/>
      <c r="AM283"/>
      <c r="AN283"/>
      <c r="AO283"/>
    </row>
    <row r="284" spans="1:41" s="3" customFormat="1" ht="14.5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 s="34"/>
      <c r="AJ284"/>
      <c r="AK284"/>
      <c r="AL284"/>
      <c r="AM284"/>
      <c r="AN284"/>
      <c r="AO284"/>
    </row>
    <row r="285" spans="1:41" s="3" customFormat="1" ht="14.5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 s="34"/>
      <c r="AJ285"/>
      <c r="AK285"/>
      <c r="AL285"/>
      <c r="AM285"/>
      <c r="AN285"/>
      <c r="AO285"/>
    </row>
    <row r="286" spans="1:41" s="3" customFormat="1" ht="14.5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 s="34"/>
      <c r="AJ286"/>
      <c r="AK286"/>
      <c r="AL286"/>
      <c r="AM286"/>
      <c r="AN286"/>
      <c r="AO286"/>
    </row>
    <row r="287" spans="1:41" s="3" customFormat="1" ht="14.5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 s="34"/>
      <c r="AJ287"/>
      <c r="AK287"/>
      <c r="AL287"/>
      <c r="AM287"/>
      <c r="AN287"/>
      <c r="AO287"/>
    </row>
    <row r="288" spans="1:41" s="3" customFormat="1" ht="14.5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 s="34"/>
      <c r="AJ288"/>
      <c r="AK288"/>
      <c r="AL288"/>
      <c r="AM288"/>
      <c r="AN288"/>
      <c r="AO288"/>
    </row>
    <row r="289" spans="1:41" s="3" customFormat="1" ht="14.5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 s="34"/>
      <c r="AJ289"/>
      <c r="AK289"/>
      <c r="AL289"/>
      <c r="AM289"/>
      <c r="AN289"/>
      <c r="AO289"/>
    </row>
    <row r="290" spans="1:41" s="3" customFormat="1" ht="14.5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 s="34"/>
      <c r="AJ290"/>
      <c r="AK290"/>
      <c r="AL290"/>
      <c r="AM290"/>
      <c r="AN290"/>
      <c r="AO290"/>
    </row>
    <row r="291" spans="1:41" s="3" customFormat="1" ht="14.5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 s="34"/>
      <c r="AJ291"/>
      <c r="AK291"/>
      <c r="AL291"/>
      <c r="AM291"/>
      <c r="AN291"/>
      <c r="AO291"/>
    </row>
    <row r="292" spans="1:41" s="3" customFormat="1" ht="14.5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 s="34"/>
      <c r="AJ292"/>
      <c r="AK292"/>
      <c r="AL292"/>
      <c r="AM292"/>
      <c r="AN292"/>
      <c r="AO292"/>
    </row>
    <row r="293" spans="1:41" s="3" customFormat="1" ht="14.5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 s="34"/>
      <c r="AJ293"/>
      <c r="AK293"/>
      <c r="AL293"/>
      <c r="AM293"/>
      <c r="AN293"/>
      <c r="AO293"/>
    </row>
    <row r="294" spans="1:41" s="3" customFormat="1" ht="14.5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 s="34"/>
      <c r="AJ294"/>
      <c r="AK294"/>
      <c r="AL294"/>
      <c r="AM294"/>
      <c r="AN294"/>
      <c r="AO294"/>
    </row>
    <row r="295" spans="1:41" s="3" customFormat="1" ht="14.5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 s="34"/>
      <c r="AJ295"/>
      <c r="AK295"/>
      <c r="AL295"/>
      <c r="AM295"/>
      <c r="AN295"/>
      <c r="AO295"/>
    </row>
    <row r="296" spans="1:41" s="3" customFormat="1" ht="14.5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 s="34"/>
      <c r="AJ296"/>
      <c r="AK296"/>
      <c r="AL296"/>
      <c r="AM296"/>
      <c r="AN296"/>
      <c r="AO296"/>
    </row>
    <row r="297" spans="1:41" s="3" customFormat="1" ht="14.5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 s="34"/>
      <c r="AJ297"/>
      <c r="AK297"/>
      <c r="AL297"/>
      <c r="AM297"/>
      <c r="AN297"/>
      <c r="AO297"/>
    </row>
    <row r="298" spans="1:41" s="3" customFormat="1" ht="14.5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 s="34"/>
      <c r="AJ298"/>
      <c r="AK298"/>
      <c r="AL298"/>
      <c r="AM298"/>
      <c r="AN298"/>
      <c r="AO298"/>
    </row>
    <row r="299" spans="1:41" s="3" customFormat="1" ht="14.5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 s="34"/>
      <c r="AJ299"/>
      <c r="AK299"/>
      <c r="AL299"/>
      <c r="AM299"/>
      <c r="AN299"/>
      <c r="AO299"/>
    </row>
    <row r="300" spans="1:41" s="3" customFormat="1" ht="14.5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 s="34"/>
      <c r="AJ300"/>
      <c r="AK300"/>
      <c r="AL300"/>
      <c r="AM300"/>
      <c r="AN300"/>
      <c r="AO300"/>
    </row>
    <row r="301" spans="1:41" s="3" customFormat="1" ht="14.5" x14ac:dyDescent="0.3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 s="34"/>
      <c r="AJ301"/>
      <c r="AK301"/>
      <c r="AL301"/>
      <c r="AM301"/>
      <c r="AN301"/>
      <c r="AO301"/>
    </row>
    <row r="302" spans="1:41" s="3" customFormat="1" ht="14.5" x14ac:dyDescent="0.3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 s="34"/>
      <c r="AJ302"/>
      <c r="AK302"/>
      <c r="AL302"/>
      <c r="AM302"/>
      <c r="AN302"/>
      <c r="AO302"/>
    </row>
    <row r="303" spans="1:41" s="3" customFormat="1" ht="14.5" x14ac:dyDescent="0.3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 s="34"/>
      <c r="AJ303"/>
      <c r="AK303"/>
      <c r="AL303"/>
      <c r="AM303"/>
      <c r="AN303"/>
      <c r="AO303"/>
    </row>
    <row r="304" spans="1:41" s="3" customFormat="1" ht="14.5" x14ac:dyDescent="0.3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 s="34"/>
      <c r="AJ304"/>
      <c r="AK304"/>
      <c r="AL304"/>
      <c r="AM304"/>
      <c r="AN304"/>
      <c r="AO304"/>
    </row>
    <row r="305" spans="1:41" s="3" customFormat="1" ht="14.5" x14ac:dyDescent="0.3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 s="34"/>
      <c r="AJ305"/>
      <c r="AK305"/>
      <c r="AL305"/>
      <c r="AM305"/>
      <c r="AN305"/>
      <c r="AO305"/>
    </row>
    <row r="306" spans="1:41" s="3" customFormat="1" ht="14.5" x14ac:dyDescent="0.3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 s="34"/>
      <c r="AJ306"/>
      <c r="AK306"/>
      <c r="AL306"/>
      <c r="AM306"/>
      <c r="AN306"/>
      <c r="AO306"/>
    </row>
    <row r="307" spans="1:41" s="3" customFormat="1" ht="14.5" x14ac:dyDescent="0.3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 s="34"/>
      <c r="AJ307"/>
      <c r="AK307"/>
      <c r="AL307"/>
      <c r="AM307"/>
      <c r="AN307"/>
      <c r="AO307"/>
    </row>
    <row r="308" spans="1:41" s="3" customFormat="1" ht="14.5" x14ac:dyDescent="0.3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 s="34"/>
      <c r="AJ308"/>
      <c r="AK308"/>
      <c r="AL308"/>
      <c r="AM308"/>
      <c r="AN308"/>
      <c r="AO308"/>
    </row>
    <row r="309" spans="1:41" s="3" customFormat="1" ht="14.5" x14ac:dyDescent="0.3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 s="34"/>
      <c r="AJ309"/>
      <c r="AK309"/>
      <c r="AL309"/>
      <c r="AM309"/>
      <c r="AN309"/>
      <c r="AO309"/>
    </row>
    <row r="310" spans="1:41" s="3" customFormat="1" ht="14.5" x14ac:dyDescent="0.3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 s="34"/>
      <c r="AJ310"/>
      <c r="AK310"/>
      <c r="AL310"/>
      <c r="AM310"/>
      <c r="AN310"/>
      <c r="AO310"/>
    </row>
    <row r="311" spans="1:41" s="3" customFormat="1" ht="14.5" x14ac:dyDescent="0.3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 s="34"/>
      <c r="AJ311"/>
      <c r="AK311"/>
      <c r="AL311"/>
      <c r="AM311"/>
      <c r="AN311"/>
      <c r="AO311"/>
    </row>
    <row r="312" spans="1:41" s="3" customFormat="1" ht="14.5" x14ac:dyDescent="0.3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 s="34"/>
      <c r="AJ312"/>
      <c r="AK312"/>
      <c r="AL312"/>
      <c r="AM312"/>
      <c r="AN312"/>
      <c r="AO312"/>
    </row>
    <row r="313" spans="1:41" s="3" customFormat="1" ht="14.5" x14ac:dyDescent="0.3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 s="34"/>
      <c r="AJ313"/>
      <c r="AK313"/>
      <c r="AL313"/>
      <c r="AM313"/>
      <c r="AN313"/>
      <c r="AO313"/>
    </row>
    <row r="314" spans="1:41" s="3" customFormat="1" ht="14.5" x14ac:dyDescent="0.3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 s="34"/>
      <c r="AJ314"/>
      <c r="AK314"/>
      <c r="AL314"/>
      <c r="AM314"/>
      <c r="AN314"/>
      <c r="AO314"/>
    </row>
    <row r="315" spans="1:41" s="3" customFormat="1" ht="14.5" x14ac:dyDescent="0.3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 s="34"/>
      <c r="AJ315"/>
      <c r="AK315"/>
      <c r="AL315"/>
      <c r="AM315"/>
      <c r="AN315"/>
      <c r="AO315"/>
    </row>
    <row r="316" spans="1:41" s="3" customFormat="1" ht="14.5" x14ac:dyDescent="0.3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 s="34"/>
      <c r="AJ316"/>
      <c r="AK316"/>
      <c r="AL316"/>
      <c r="AM316"/>
      <c r="AN316"/>
      <c r="AO316"/>
    </row>
    <row r="317" spans="1:41" s="3" customFormat="1" ht="14.5" x14ac:dyDescent="0.3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 s="34"/>
      <c r="AJ317"/>
      <c r="AK317"/>
      <c r="AL317"/>
      <c r="AM317"/>
      <c r="AN317"/>
      <c r="AO317"/>
    </row>
    <row r="318" spans="1:41" s="3" customFormat="1" ht="14.5" x14ac:dyDescent="0.3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 s="34"/>
      <c r="AJ318"/>
      <c r="AK318"/>
      <c r="AL318"/>
      <c r="AM318"/>
      <c r="AN318"/>
      <c r="AO318"/>
    </row>
    <row r="319" spans="1:41" s="3" customFormat="1" ht="14.5" x14ac:dyDescent="0.3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 s="34"/>
      <c r="AJ319"/>
      <c r="AK319"/>
      <c r="AL319"/>
      <c r="AM319"/>
      <c r="AN319"/>
      <c r="AO319"/>
    </row>
    <row r="320" spans="1:41" s="3" customFormat="1" ht="14.5" x14ac:dyDescent="0.3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 s="34"/>
      <c r="AJ320"/>
      <c r="AK320"/>
      <c r="AL320"/>
      <c r="AM320"/>
      <c r="AN320"/>
      <c r="AO320"/>
    </row>
    <row r="321" spans="1:41" s="3" customFormat="1" ht="14.5" x14ac:dyDescent="0.3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 s="34"/>
      <c r="AJ321"/>
      <c r="AK321"/>
      <c r="AL321"/>
      <c r="AM321"/>
      <c r="AN321"/>
      <c r="AO321"/>
    </row>
    <row r="322" spans="1:41" s="3" customFormat="1" ht="14.5" x14ac:dyDescent="0.3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 s="34"/>
      <c r="AJ322"/>
      <c r="AK322"/>
      <c r="AL322"/>
      <c r="AM322"/>
      <c r="AN322"/>
      <c r="AO322"/>
    </row>
    <row r="323" spans="1:41" s="3" customFormat="1" ht="14.5" x14ac:dyDescent="0.3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 s="34"/>
      <c r="AJ323"/>
      <c r="AK323"/>
      <c r="AL323"/>
      <c r="AM323"/>
      <c r="AN323"/>
      <c r="AO323"/>
    </row>
    <row r="324" spans="1:41" s="3" customFormat="1" ht="14.5" x14ac:dyDescent="0.3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 s="34"/>
      <c r="AJ324"/>
      <c r="AK324"/>
      <c r="AL324"/>
      <c r="AM324"/>
      <c r="AN324"/>
      <c r="AO324"/>
    </row>
    <row r="325" spans="1:41" s="3" customFormat="1" ht="14.5" x14ac:dyDescent="0.3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 s="34"/>
      <c r="AJ325"/>
      <c r="AK325"/>
      <c r="AL325"/>
      <c r="AM325"/>
      <c r="AN325"/>
      <c r="AO325"/>
    </row>
    <row r="326" spans="1:41" s="3" customFormat="1" ht="14.5" x14ac:dyDescent="0.3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 s="34"/>
      <c r="AJ326"/>
      <c r="AK326"/>
      <c r="AL326"/>
      <c r="AM326"/>
      <c r="AN326"/>
      <c r="AO326"/>
    </row>
    <row r="327" spans="1:41" s="3" customFormat="1" ht="14.5" x14ac:dyDescent="0.3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 s="34"/>
      <c r="AJ327"/>
      <c r="AK327"/>
      <c r="AL327"/>
      <c r="AM327"/>
      <c r="AN327"/>
      <c r="AO327"/>
    </row>
    <row r="328" spans="1:41" s="3" customFormat="1" ht="14.5" x14ac:dyDescent="0.3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 s="34"/>
      <c r="AJ328"/>
      <c r="AK328"/>
      <c r="AL328"/>
      <c r="AM328"/>
      <c r="AN328"/>
      <c r="AO328"/>
    </row>
    <row r="329" spans="1:41" s="3" customFormat="1" ht="14.5" x14ac:dyDescent="0.3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 s="34"/>
      <c r="AJ329"/>
      <c r="AK329"/>
      <c r="AL329"/>
      <c r="AM329"/>
      <c r="AN329"/>
      <c r="AO329"/>
    </row>
    <row r="330" spans="1:41" s="3" customFormat="1" ht="14.5" x14ac:dyDescent="0.3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 s="34"/>
      <c r="AJ330"/>
      <c r="AK330"/>
      <c r="AL330"/>
      <c r="AM330"/>
      <c r="AN330"/>
      <c r="AO330"/>
    </row>
    <row r="331" spans="1:41" s="3" customFormat="1" ht="14.5" x14ac:dyDescent="0.3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 s="34"/>
      <c r="AJ331"/>
      <c r="AK331"/>
      <c r="AL331"/>
      <c r="AM331"/>
      <c r="AN331"/>
      <c r="AO331"/>
    </row>
    <row r="332" spans="1:41" s="3" customFormat="1" ht="14.5" x14ac:dyDescent="0.3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 s="34"/>
      <c r="AJ332"/>
      <c r="AK332"/>
      <c r="AL332"/>
      <c r="AM332"/>
      <c r="AN332"/>
      <c r="AO332"/>
    </row>
    <row r="333" spans="1:41" s="3" customFormat="1" ht="14.5" x14ac:dyDescent="0.3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 s="34"/>
      <c r="AJ333"/>
      <c r="AK333"/>
      <c r="AL333"/>
      <c r="AM333"/>
      <c r="AN333"/>
      <c r="AO333"/>
    </row>
    <row r="334" spans="1:41" s="3" customFormat="1" ht="14.5" x14ac:dyDescent="0.3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 s="34"/>
      <c r="AJ334"/>
      <c r="AK334"/>
      <c r="AL334"/>
      <c r="AM334"/>
      <c r="AN334"/>
      <c r="AO334"/>
    </row>
    <row r="335" spans="1:41" s="3" customFormat="1" ht="14.5" x14ac:dyDescent="0.3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 s="34"/>
      <c r="AJ335"/>
      <c r="AK335"/>
      <c r="AL335"/>
      <c r="AM335"/>
      <c r="AN335"/>
      <c r="AO335"/>
    </row>
    <row r="336" spans="1:41" s="3" customFormat="1" ht="14.5" x14ac:dyDescent="0.3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 s="34"/>
      <c r="AJ336"/>
      <c r="AK336"/>
      <c r="AL336"/>
      <c r="AM336"/>
      <c r="AN336"/>
      <c r="AO336"/>
    </row>
    <row r="337" spans="1:41" s="3" customFormat="1" ht="14.5" x14ac:dyDescent="0.3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 s="34"/>
      <c r="AJ337"/>
      <c r="AK337"/>
      <c r="AL337"/>
      <c r="AM337"/>
      <c r="AN337"/>
      <c r="AO337"/>
    </row>
    <row r="338" spans="1:41" s="3" customFormat="1" ht="14.5" x14ac:dyDescent="0.3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 s="34"/>
      <c r="AJ338"/>
      <c r="AK338"/>
      <c r="AL338"/>
      <c r="AM338"/>
      <c r="AN338"/>
      <c r="AO338"/>
    </row>
    <row r="339" spans="1:41" s="3" customFormat="1" ht="14.5" x14ac:dyDescent="0.3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 s="34"/>
      <c r="AJ339"/>
      <c r="AK339"/>
      <c r="AL339"/>
      <c r="AM339"/>
      <c r="AN339"/>
      <c r="AO339"/>
    </row>
    <row r="340" spans="1:41" s="3" customFormat="1" ht="14.5" x14ac:dyDescent="0.3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 s="34"/>
      <c r="AJ340"/>
      <c r="AK340"/>
      <c r="AL340"/>
      <c r="AM340"/>
      <c r="AN340"/>
      <c r="AO340"/>
    </row>
    <row r="341" spans="1:41" s="3" customFormat="1" ht="14.5" x14ac:dyDescent="0.3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 s="34"/>
      <c r="AJ341"/>
      <c r="AK341"/>
      <c r="AL341"/>
      <c r="AM341"/>
      <c r="AN341"/>
      <c r="AO341"/>
    </row>
    <row r="342" spans="1:41" s="3" customFormat="1" ht="14.5" x14ac:dyDescent="0.3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 s="34"/>
      <c r="AJ342"/>
      <c r="AK342"/>
      <c r="AL342"/>
      <c r="AM342"/>
      <c r="AN342"/>
      <c r="AO342"/>
    </row>
    <row r="343" spans="1:41" s="3" customFormat="1" ht="14.5" x14ac:dyDescent="0.3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 s="34"/>
      <c r="AJ343"/>
      <c r="AK343"/>
      <c r="AL343"/>
      <c r="AM343"/>
      <c r="AN343"/>
      <c r="AO343"/>
    </row>
    <row r="344" spans="1:41" s="3" customFormat="1" ht="14.5" x14ac:dyDescent="0.3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 s="34"/>
      <c r="AJ344"/>
      <c r="AK344"/>
      <c r="AL344"/>
      <c r="AM344"/>
      <c r="AN344"/>
      <c r="AO344"/>
    </row>
    <row r="345" spans="1:41" s="3" customFormat="1" ht="14.5" x14ac:dyDescent="0.3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 s="34"/>
      <c r="AJ345"/>
      <c r="AK345"/>
      <c r="AL345"/>
      <c r="AM345"/>
      <c r="AN345"/>
      <c r="AO345"/>
    </row>
    <row r="346" spans="1:41" s="3" customFormat="1" ht="14.5" x14ac:dyDescent="0.3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 s="34"/>
      <c r="AJ346"/>
      <c r="AK346"/>
      <c r="AL346"/>
      <c r="AM346"/>
      <c r="AN346"/>
      <c r="AO346"/>
    </row>
    <row r="347" spans="1:41" s="3" customFormat="1" ht="14.5" x14ac:dyDescent="0.3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 s="34"/>
      <c r="AJ347"/>
      <c r="AK347"/>
      <c r="AL347"/>
      <c r="AM347"/>
      <c r="AN347"/>
      <c r="AO347"/>
    </row>
    <row r="348" spans="1:41" s="3" customFormat="1" ht="14.5" x14ac:dyDescent="0.3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 s="34"/>
      <c r="AJ348"/>
      <c r="AK348"/>
      <c r="AL348"/>
      <c r="AM348"/>
      <c r="AN348"/>
      <c r="AO348"/>
    </row>
    <row r="349" spans="1:41" s="3" customFormat="1" ht="14.5" x14ac:dyDescent="0.3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 s="34"/>
      <c r="AJ349"/>
      <c r="AK349"/>
      <c r="AL349"/>
      <c r="AM349"/>
      <c r="AN349"/>
      <c r="AO349"/>
    </row>
    <row r="350" spans="1:41" s="3" customFormat="1" ht="14.5" x14ac:dyDescent="0.3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 s="34"/>
      <c r="AJ350"/>
      <c r="AK350"/>
      <c r="AL350"/>
      <c r="AM350"/>
      <c r="AN350"/>
      <c r="AO350"/>
    </row>
    <row r="351" spans="1:41" s="3" customFormat="1" ht="14.5" x14ac:dyDescent="0.3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 s="34"/>
      <c r="AJ351"/>
      <c r="AK351"/>
      <c r="AL351"/>
      <c r="AM351"/>
      <c r="AN351"/>
      <c r="AO351"/>
    </row>
    <row r="352" spans="1:41" s="3" customFormat="1" ht="14.5" x14ac:dyDescent="0.3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 s="34"/>
      <c r="AJ352"/>
      <c r="AK352"/>
      <c r="AL352"/>
      <c r="AM352"/>
      <c r="AN352"/>
      <c r="AO352"/>
    </row>
    <row r="353" spans="1:41" s="3" customFormat="1" ht="14.5" x14ac:dyDescent="0.3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 s="34"/>
      <c r="AJ353"/>
      <c r="AK353"/>
      <c r="AL353"/>
      <c r="AM353"/>
      <c r="AN353"/>
      <c r="AO353"/>
    </row>
    <row r="354" spans="1:41" s="3" customFormat="1" ht="14.5" x14ac:dyDescent="0.3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 s="34"/>
      <c r="AJ354"/>
      <c r="AK354"/>
      <c r="AL354"/>
      <c r="AM354"/>
      <c r="AN354"/>
      <c r="AO354"/>
    </row>
    <row r="355" spans="1:41" s="3" customFormat="1" ht="14.5" x14ac:dyDescent="0.3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 s="34"/>
      <c r="AJ355"/>
      <c r="AK355"/>
      <c r="AL355"/>
      <c r="AM355"/>
      <c r="AN355"/>
      <c r="AO355"/>
    </row>
    <row r="356" spans="1:41" s="3" customFormat="1" ht="14.5" x14ac:dyDescent="0.3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 s="34"/>
      <c r="AJ356"/>
      <c r="AK356"/>
      <c r="AL356"/>
      <c r="AM356"/>
      <c r="AN356"/>
      <c r="AO356"/>
    </row>
    <row r="357" spans="1:41" s="3" customFormat="1" ht="14.5" x14ac:dyDescent="0.3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 s="34"/>
      <c r="AJ357"/>
      <c r="AK357"/>
      <c r="AL357"/>
      <c r="AM357"/>
      <c r="AN357"/>
      <c r="AO357"/>
    </row>
    <row r="358" spans="1:41" s="3" customFormat="1" ht="14.5" x14ac:dyDescent="0.3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 s="34"/>
      <c r="AJ358"/>
      <c r="AK358"/>
      <c r="AL358"/>
      <c r="AM358"/>
      <c r="AN358"/>
      <c r="AO358"/>
    </row>
    <row r="359" spans="1:41" s="3" customFormat="1" ht="14.5" x14ac:dyDescent="0.3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 s="34"/>
      <c r="AJ359"/>
      <c r="AK359"/>
      <c r="AL359"/>
      <c r="AM359"/>
      <c r="AN359"/>
      <c r="AO359"/>
    </row>
    <row r="360" spans="1:41" s="3" customFormat="1" ht="14.5" x14ac:dyDescent="0.3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 s="34"/>
      <c r="AJ360"/>
      <c r="AK360"/>
      <c r="AL360"/>
      <c r="AM360"/>
      <c r="AN360"/>
      <c r="AO360"/>
    </row>
    <row r="361" spans="1:41" s="3" customFormat="1" ht="14.5" x14ac:dyDescent="0.3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 s="34"/>
      <c r="AJ361"/>
      <c r="AK361"/>
      <c r="AL361"/>
      <c r="AM361"/>
      <c r="AN361"/>
      <c r="AO361"/>
    </row>
    <row r="362" spans="1:41" s="3" customFormat="1" ht="14.5" x14ac:dyDescent="0.3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 s="34"/>
      <c r="AJ362"/>
      <c r="AK362"/>
      <c r="AL362"/>
      <c r="AM362"/>
      <c r="AN362"/>
      <c r="AO362"/>
    </row>
    <row r="363" spans="1:41" s="3" customFormat="1" ht="14.5" x14ac:dyDescent="0.3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 s="34"/>
      <c r="AJ363"/>
      <c r="AK363"/>
      <c r="AL363"/>
      <c r="AM363"/>
      <c r="AN363"/>
      <c r="AO363"/>
    </row>
    <row r="364" spans="1:41" s="3" customFormat="1" ht="14.5" x14ac:dyDescent="0.3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 s="34"/>
      <c r="AJ364"/>
      <c r="AK364"/>
      <c r="AL364"/>
      <c r="AM364"/>
      <c r="AN364"/>
      <c r="AO364"/>
    </row>
    <row r="365" spans="1:41" s="3" customFormat="1" ht="14.5" x14ac:dyDescent="0.3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 s="34"/>
      <c r="AJ365"/>
      <c r="AK365"/>
      <c r="AL365"/>
      <c r="AM365"/>
      <c r="AN365"/>
      <c r="AO365"/>
    </row>
    <row r="366" spans="1:41" s="3" customFormat="1" ht="14.5" x14ac:dyDescent="0.3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 s="34"/>
      <c r="AJ366"/>
      <c r="AK366"/>
      <c r="AL366"/>
      <c r="AM366"/>
      <c r="AN366"/>
      <c r="AO366"/>
    </row>
    <row r="367" spans="1:41" s="3" customFormat="1" ht="14.5" x14ac:dyDescent="0.3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 s="34"/>
      <c r="AJ367"/>
      <c r="AK367"/>
      <c r="AL367"/>
      <c r="AM367"/>
      <c r="AN367"/>
      <c r="AO367"/>
    </row>
    <row r="368" spans="1:41" s="3" customFormat="1" ht="14.5" x14ac:dyDescent="0.3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 s="34"/>
      <c r="AJ368"/>
      <c r="AK368"/>
      <c r="AL368"/>
      <c r="AM368"/>
      <c r="AN368"/>
      <c r="AO368"/>
    </row>
    <row r="369" spans="1:41" s="3" customFormat="1" ht="14.5" x14ac:dyDescent="0.3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 s="34"/>
      <c r="AJ369"/>
      <c r="AK369"/>
      <c r="AL369"/>
      <c r="AM369"/>
      <c r="AN369"/>
      <c r="AO369"/>
    </row>
    <row r="370" spans="1:41" s="3" customFormat="1" ht="14.5" x14ac:dyDescent="0.3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 s="34"/>
      <c r="AJ370"/>
      <c r="AK370"/>
      <c r="AL370"/>
      <c r="AM370"/>
      <c r="AN370"/>
      <c r="AO370"/>
    </row>
    <row r="371" spans="1:41" s="3" customFormat="1" ht="14.5" x14ac:dyDescent="0.3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 s="34"/>
      <c r="AJ371"/>
      <c r="AK371"/>
      <c r="AL371"/>
      <c r="AM371"/>
      <c r="AN371"/>
      <c r="AO371"/>
    </row>
    <row r="372" spans="1:41" s="3" customFormat="1" ht="14.5" x14ac:dyDescent="0.3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 s="34"/>
      <c r="AJ372"/>
      <c r="AK372"/>
      <c r="AL372"/>
      <c r="AM372"/>
      <c r="AN372"/>
      <c r="AO372"/>
    </row>
    <row r="373" spans="1:41" s="3" customFormat="1" ht="14.5" x14ac:dyDescent="0.3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 s="34"/>
      <c r="AJ373"/>
      <c r="AK373"/>
      <c r="AL373"/>
      <c r="AM373"/>
      <c r="AN373"/>
      <c r="AO373"/>
    </row>
    <row r="374" spans="1:41" s="3" customFormat="1" ht="14.5" x14ac:dyDescent="0.3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 s="34"/>
      <c r="AJ374"/>
      <c r="AK374"/>
      <c r="AL374"/>
      <c r="AM374"/>
      <c r="AN374"/>
      <c r="AO374"/>
    </row>
    <row r="375" spans="1:41" s="3" customFormat="1" ht="14.5" x14ac:dyDescent="0.3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 s="34"/>
      <c r="AJ375"/>
      <c r="AK375"/>
      <c r="AL375"/>
      <c r="AM375"/>
      <c r="AN375"/>
      <c r="AO375"/>
    </row>
    <row r="376" spans="1:41" s="3" customFormat="1" ht="14.5" x14ac:dyDescent="0.3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 s="34"/>
      <c r="AJ376"/>
      <c r="AK376"/>
      <c r="AL376"/>
      <c r="AM376"/>
      <c r="AN376"/>
      <c r="AO376"/>
    </row>
    <row r="377" spans="1:41" s="3" customFormat="1" ht="14.5" x14ac:dyDescent="0.3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 s="34"/>
      <c r="AJ377"/>
      <c r="AK377"/>
      <c r="AL377"/>
      <c r="AM377"/>
      <c r="AN377"/>
      <c r="AO377"/>
    </row>
    <row r="378" spans="1:41" s="3" customFormat="1" ht="14.5" x14ac:dyDescent="0.3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 s="34"/>
      <c r="AJ378"/>
      <c r="AK378"/>
      <c r="AL378"/>
      <c r="AM378"/>
      <c r="AN378"/>
      <c r="AO378"/>
    </row>
    <row r="379" spans="1:41" s="3" customFormat="1" ht="14.5" x14ac:dyDescent="0.3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 s="34"/>
      <c r="AJ379"/>
      <c r="AK379"/>
      <c r="AL379"/>
      <c r="AM379"/>
      <c r="AN379"/>
      <c r="AO379"/>
    </row>
    <row r="380" spans="1:41" s="3" customFormat="1" ht="14.5" x14ac:dyDescent="0.3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 s="34"/>
      <c r="AJ380"/>
      <c r="AK380"/>
      <c r="AL380"/>
      <c r="AM380"/>
      <c r="AN380"/>
      <c r="AO380"/>
    </row>
    <row r="381" spans="1:41" s="3" customFormat="1" ht="14.5" x14ac:dyDescent="0.3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 s="34"/>
      <c r="AJ381"/>
      <c r="AK381"/>
      <c r="AL381"/>
      <c r="AM381"/>
      <c r="AN381"/>
      <c r="AO381"/>
    </row>
    <row r="382" spans="1:41" s="3" customFormat="1" ht="14.5" x14ac:dyDescent="0.3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 s="34"/>
      <c r="AJ382"/>
      <c r="AK382"/>
      <c r="AL382"/>
      <c r="AM382"/>
      <c r="AN382"/>
      <c r="AO382"/>
    </row>
    <row r="383" spans="1:41" s="3" customFormat="1" ht="14.5" x14ac:dyDescent="0.3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 s="34"/>
      <c r="AJ383"/>
      <c r="AK383"/>
      <c r="AL383"/>
      <c r="AM383"/>
      <c r="AN383"/>
      <c r="AO383"/>
    </row>
    <row r="384" spans="1:41" s="3" customFormat="1" ht="14.5" x14ac:dyDescent="0.3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 s="34"/>
      <c r="AJ384"/>
      <c r="AK384"/>
      <c r="AL384"/>
      <c r="AM384"/>
      <c r="AN384"/>
      <c r="AO384"/>
    </row>
    <row r="385" spans="1:41" s="3" customFormat="1" ht="14.5" x14ac:dyDescent="0.3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 s="34"/>
      <c r="AJ385"/>
      <c r="AK385"/>
      <c r="AL385"/>
      <c r="AM385"/>
      <c r="AN385"/>
      <c r="AO385"/>
    </row>
    <row r="386" spans="1:41" s="3" customFormat="1" ht="14.5" x14ac:dyDescent="0.3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 s="34"/>
      <c r="AJ386"/>
      <c r="AK386"/>
      <c r="AL386"/>
      <c r="AM386"/>
      <c r="AN386"/>
      <c r="AO386"/>
    </row>
    <row r="387" spans="1:41" s="3" customFormat="1" ht="14.5" x14ac:dyDescent="0.3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 s="34"/>
      <c r="AJ387"/>
      <c r="AK387"/>
      <c r="AL387"/>
      <c r="AM387"/>
      <c r="AN387"/>
      <c r="AO387"/>
    </row>
    <row r="388" spans="1:41" s="3" customFormat="1" ht="14.5" x14ac:dyDescent="0.3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 s="34"/>
      <c r="AJ388"/>
      <c r="AK388"/>
      <c r="AL388"/>
      <c r="AM388"/>
      <c r="AN388"/>
      <c r="AO388"/>
    </row>
    <row r="389" spans="1:41" s="3" customFormat="1" ht="14.5" x14ac:dyDescent="0.3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 s="34"/>
      <c r="AJ389"/>
      <c r="AK389"/>
      <c r="AL389"/>
      <c r="AM389"/>
      <c r="AN389"/>
      <c r="AO389"/>
    </row>
    <row r="390" spans="1:41" s="3" customFormat="1" ht="14.5" x14ac:dyDescent="0.3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 s="34"/>
      <c r="AJ390"/>
      <c r="AK390"/>
      <c r="AL390"/>
      <c r="AM390"/>
      <c r="AN390"/>
      <c r="AO390"/>
    </row>
    <row r="391" spans="1:41" s="3" customFormat="1" ht="14.5" x14ac:dyDescent="0.3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 s="34"/>
      <c r="AJ391"/>
      <c r="AK391"/>
      <c r="AL391"/>
      <c r="AM391"/>
      <c r="AN391"/>
      <c r="AO391"/>
    </row>
    <row r="392" spans="1:41" s="3" customFormat="1" ht="14.5" x14ac:dyDescent="0.3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 s="34"/>
      <c r="AJ392"/>
      <c r="AK392"/>
      <c r="AL392"/>
      <c r="AM392"/>
      <c r="AN392"/>
      <c r="AO392"/>
    </row>
    <row r="393" spans="1:41" s="3" customFormat="1" ht="14.5" x14ac:dyDescent="0.3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 s="34"/>
      <c r="AJ393"/>
      <c r="AK393"/>
      <c r="AL393"/>
      <c r="AM393"/>
      <c r="AN393"/>
      <c r="AO393"/>
    </row>
    <row r="394" spans="1:41" s="3" customFormat="1" ht="14.5" x14ac:dyDescent="0.3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 s="34"/>
      <c r="AJ394"/>
      <c r="AK394"/>
      <c r="AL394"/>
      <c r="AM394"/>
      <c r="AN394"/>
      <c r="AO394"/>
    </row>
    <row r="395" spans="1:41" s="3" customFormat="1" ht="14.5" x14ac:dyDescent="0.3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 s="34"/>
      <c r="AJ395"/>
      <c r="AK395"/>
      <c r="AL395"/>
      <c r="AM395"/>
      <c r="AN395"/>
      <c r="AO395"/>
    </row>
    <row r="396" spans="1:41" s="3" customFormat="1" ht="14.5" x14ac:dyDescent="0.3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 s="34"/>
      <c r="AJ396"/>
      <c r="AK396"/>
      <c r="AL396"/>
      <c r="AM396"/>
      <c r="AN396"/>
      <c r="AO396"/>
    </row>
    <row r="397" spans="1:41" s="3" customFormat="1" ht="14.5" x14ac:dyDescent="0.3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 s="34"/>
      <c r="AJ397"/>
      <c r="AK397"/>
      <c r="AL397"/>
      <c r="AM397"/>
      <c r="AN397"/>
      <c r="AO397"/>
    </row>
    <row r="398" spans="1:41" s="3" customFormat="1" ht="14.5" x14ac:dyDescent="0.3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 s="34"/>
      <c r="AJ398"/>
      <c r="AK398"/>
      <c r="AL398"/>
      <c r="AM398"/>
      <c r="AN398"/>
      <c r="AO398"/>
    </row>
    <row r="399" spans="1:41" s="3" customFormat="1" ht="14.5" x14ac:dyDescent="0.3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 s="34"/>
      <c r="AJ399"/>
      <c r="AK399"/>
      <c r="AL399"/>
      <c r="AM399"/>
      <c r="AN399"/>
      <c r="AO399"/>
    </row>
    <row r="400" spans="1:41" s="3" customFormat="1" ht="14.5" x14ac:dyDescent="0.3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 s="34"/>
      <c r="AJ400"/>
      <c r="AK400"/>
      <c r="AL400"/>
      <c r="AM400"/>
      <c r="AN400"/>
      <c r="AO400"/>
    </row>
    <row r="401" spans="1:41" s="3" customFormat="1" ht="14.5" x14ac:dyDescent="0.3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 s="34"/>
      <c r="AJ401"/>
      <c r="AK401"/>
      <c r="AL401"/>
      <c r="AM401"/>
      <c r="AN401"/>
      <c r="AO401"/>
    </row>
    <row r="402" spans="1:41" s="3" customFormat="1" ht="14.5" x14ac:dyDescent="0.3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 s="34"/>
      <c r="AJ402"/>
      <c r="AK402"/>
      <c r="AL402"/>
      <c r="AM402"/>
      <c r="AN402"/>
      <c r="AO402"/>
    </row>
    <row r="403" spans="1:41" s="3" customFormat="1" ht="14.5" x14ac:dyDescent="0.3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 s="34"/>
      <c r="AJ403"/>
      <c r="AK403"/>
      <c r="AL403"/>
      <c r="AM403"/>
      <c r="AN403"/>
      <c r="AO403"/>
    </row>
    <row r="404" spans="1:41" s="3" customFormat="1" ht="14.5" x14ac:dyDescent="0.3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 s="34"/>
      <c r="AJ404"/>
      <c r="AK404"/>
      <c r="AL404"/>
      <c r="AM404"/>
      <c r="AN404"/>
      <c r="AO404"/>
    </row>
    <row r="405" spans="1:41" s="3" customFormat="1" ht="14.5" x14ac:dyDescent="0.3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 s="34"/>
      <c r="AJ405"/>
      <c r="AK405"/>
      <c r="AL405"/>
      <c r="AM405"/>
      <c r="AN405"/>
      <c r="AO405"/>
    </row>
    <row r="406" spans="1:41" s="3" customFormat="1" ht="14.5" x14ac:dyDescent="0.3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 s="34"/>
      <c r="AJ406"/>
      <c r="AK406"/>
      <c r="AL406"/>
      <c r="AM406"/>
      <c r="AN406"/>
      <c r="AO406"/>
    </row>
    <row r="407" spans="1:41" s="3" customFormat="1" ht="14.5" x14ac:dyDescent="0.3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 s="34"/>
      <c r="AJ407"/>
      <c r="AK407"/>
      <c r="AL407"/>
      <c r="AM407"/>
      <c r="AN407"/>
      <c r="AO407"/>
    </row>
    <row r="408" spans="1:41" s="3" customFormat="1" ht="14.5" x14ac:dyDescent="0.3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 s="34"/>
      <c r="AJ408"/>
      <c r="AK408"/>
      <c r="AL408"/>
      <c r="AM408"/>
      <c r="AN408"/>
      <c r="AO408"/>
    </row>
    <row r="409" spans="1:41" s="3" customFormat="1" ht="14.5" x14ac:dyDescent="0.3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 s="34"/>
      <c r="AJ409"/>
      <c r="AK409"/>
      <c r="AL409"/>
      <c r="AM409"/>
      <c r="AN409"/>
      <c r="AO409"/>
    </row>
    <row r="410" spans="1:41" s="3" customFormat="1" ht="14.5" x14ac:dyDescent="0.3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 s="34"/>
      <c r="AJ410"/>
      <c r="AK410"/>
      <c r="AL410"/>
      <c r="AM410"/>
      <c r="AN410"/>
      <c r="AO410"/>
    </row>
    <row r="411" spans="1:41" s="3" customFormat="1" ht="14.5" x14ac:dyDescent="0.3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 s="34"/>
      <c r="AJ411"/>
      <c r="AK411"/>
      <c r="AL411"/>
      <c r="AM411"/>
      <c r="AN411"/>
      <c r="AO411"/>
    </row>
    <row r="412" spans="1:41" s="3" customFormat="1" ht="14.5" x14ac:dyDescent="0.3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 s="34"/>
      <c r="AJ412"/>
      <c r="AK412"/>
      <c r="AL412"/>
      <c r="AM412"/>
      <c r="AN412"/>
      <c r="AO412"/>
    </row>
    <row r="413" spans="1:41" s="3" customFormat="1" ht="14.5" x14ac:dyDescent="0.3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 s="34"/>
      <c r="AJ413"/>
      <c r="AK413"/>
      <c r="AL413"/>
      <c r="AM413"/>
      <c r="AN413"/>
      <c r="AO413"/>
    </row>
    <row r="414" spans="1:41" s="3" customFormat="1" ht="14.5" x14ac:dyDescent="0.3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 s="34"/>
      <c r="AJ414"/>
      <c r="AK414"/>
      <c r="AL414"/>
      <c r="AM414"/>
      <c r="AN414"/>
      <c r="AO414"/>
    </row>
    <row r="415" spans="1:41" s="3" customFormat="1" ht="14.5" x14ac:dyDescent="0.3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 s="34"/>
      <c r="AJ415"/>
      <c r="AK415"/>
      <c r="AL415"/>
      <c r="AM415"/>
      <c r="AN415"/>
      <c r="AO415"/>
    </row>
    <row r="416" spans="1:41" s="3" customFormat="1" ht="14.5" x14ac:dyDescent="0.3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 s="34"/>
      <c r="AJ416"/>
      <c r="AK416"/>
      <c r="AL416"/>
      <c r="AM416"/>
      <c r="AN416"/>
      <c r="AO416"/>
    </row>
    <row r="417" spans="1:41" s="3" customFormat="1" ht="14.5" x14ac:dyDescent="0.3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 s="34"/>
      <c r="AJ417"/>
      <c r="AK417"/>
      <c r="AL417"/>
      <c r="AM417"/>
      <c r="AN417"/>
      <c r="AO417"/>
    </row>
    <row r="418" spans="1:41" s="3" customFormat="1" ht="14.5" x14ac:dyDescent="0.3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 s="34"/>
      <c r="AJ418"/>
      <c r="AK418"/>
      <c r="AL418"/>
      <c r="AM418"/>
      <c r="AN418"/>
      <c r="AO418"/>
    </row>
    <row r="419" spans="1:41" s="3" customFormat="1" ht="14.5" x14ac:dyDescent="0.3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 s="34"/>
      <c r="AJ419"/>
      <c r="AK419"/>
      <c r="AL419"/>
      <c r="AM419"/>
      <c r="AN419"/>
      <c r="AO419"/>
    </row>
    <row r="420" spans="1:41" s="3" customFormat="1" ht="14.5" x14ac:dyDescent="0.3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 s="34"/>
      <c r="AJ420"/>
      <c r="AK420"/>
      <c r="AL420"/>
      <c r="AM420"/>
      <c r="AN420"/>
      <c r="AO420"/>
    </row>
    <row r="421" spans="1:41" s="3" customFormat="1" ht="14.5" x14ac:dyDescent="0.3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 s="34"/>
      <c r="AJ421"/>
      <c r="AK421"/>
      <c r="AL421"/>
      <c r="AM421"/>
      <c r="AN421"/>
      <c r="AO421"/>
    </row>
    <row r="422" spans="1:41" s="3" customFormat="1" ht="14.5" x14ac:dyDescent="0.3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 s="34"/>
      <c r="AJ422"/>
      <c r="AK422"/>
      <c r="AL422"/>
      <c r="AM422"/>
      <c r="AN422"/>
      <c r="AO422"/>
    </row>
    <row r="423" spans="1:41" s="3" customFormat="1" ht="14.5" x14ac:dyDescent="0.3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 s="34"/>
      <c r="AJ423"/>
      <c r="AK423"/>
      <c r="AL423"/>
      <c r="AM423"/>
      <c r="AN423"/>
      <c r="AO423"/>
    </row>
    <row r="424" spans="1:41" s="3" customFormat="1" ht="14.5" x14ac:dyDescent="0.3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 s="34"/>
      <c r="AJ424"/>
      <c r="AK424"/>
      <c r="AL424"/>
      <c r="AM424"/>
      <c r="AN424"/>
      <c r="AO424"/>
    </row>
    <row r="425" spans="1:41" s="3" customFormat="1" ht="14.5" x14ac:dyDescent="0.3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 s="34"/>
      <c r="AJ425"/>
      <c r="AK425"/>
      <c r="AL425"/>
      <c r="AM425"/>
      <c r="AN425"/>
      <c r="AO425"/>
    </row>
    <row r="426" spans="1:41" s="3" customFormat="1" ht="14.5" x14ac:dyDescent="0.3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 s="34"/>
      <c r="AJ426"/>
      <c r="AK426"/>
      <c r="AL426"/>
      <c r="AM426"/>
      <c r="AN426"/>
      <c r="AO426"/>
    </row>
    <row r="427" spans="1:41" s="3" customFormat="1" ht="14.5" x14ac:dyDescent="0.3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 s="34"/>
      <c r="AJ427"/>
      <c r="AK427"/>
      <c r="AL427"/>
      <c r="AM427"/>
      <c r="AN427"/>
      <c r="AO427"/>
    </row>
    <row r="428" spans="1:41" s="3" customFormat="1" ht="14.5" x14ac:dyDescent="0.3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 s="34"/>
      <c r="AJ428"/>
      <c r="AK428"/>
      <c r="AL428"/>
      <c r="AM428"/>
      <c r="AN428"/>
      <c r="AO428"/>
    </row>
    <row r="429" spans="1:41" s="3" customFormat="1" ht="14.5" x14ac:dyDescent="0.3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 s="34"/>
      <c r="AJ429"/>
      <c r="AK429"/>
      <c r="AL429"/>
      <c r="AM429"/>
      <c r="AN429"/>
      <c r="AO429"/>
    </row>
    <row r="430" spans="1:41" s="3" customFormat="1" ht="14.5" x14ac:dyDescent="0.3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 s="34"/>
      <c r="AJ430"/>
      <c r="AK430"/>
      <c r="AL430"/>
      <c r="AM430"/>
      <c r="AN430"/>
      <c r="AO430"/>
    </row>
    <row r="431" spans="1:41" s="3" customFormat="1" ht="14.5" x14ac:dyDescent="0.3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 s="34"/>
      <c r="AJ431"/>
      <c r="AK431"/>
      <c r="AL431"/>
      <c r="AM431"/>
      <c r="AN431"/>
      <c r="AO431"/>
    </row>
    <row r="432" spans="1:41" s="3" customFormat="1" ht="14.5" x14ac:dyDescent="0.3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 s="34"/>
      <c r="AJ432"/>
      <c r="AK432"/>
      <c r="AL432"/>
      <c r="AM432"/>
      <c r="AN432"/>
      <c r="AO432"/>
    </row>
    <row r="433" spans="1:41" s="3" customFormat="1" ht="14.5" x14ac:dyDescent="0.3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 s="34"/>
      <c r="AJ433"/>
      <c r="AK433"/>
      <c r="AL433"/>
      <c r="AM433"/>
      <c r="AN433"/>
      <c r="AO433"/>
    </row>
    <row r="434" spans="1:41" s="3" customFormat="1" ht="14.5" x14ac:dyDescent="0.3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 s="34"/>
      <c r="AJ434"/>
      <c r="AK434"/>
      <c r="AL434"/>
      <c r="AM434"/>
      <c r="AN434"/>
      <c r="AO434"/>
    </row>
    <row r="435" spans="1:41" s="3" customFormat="1" ht="14.5" x14ac:dyDescent="0.3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 s="34"/>
      <c r="AJ435"/>
      <c r="AK435"/>
      <c r="AL435"/>
      <c r="AM435"/>
      <c r="AN435"/>
      <c r="AO435"/>
    </row>
    <row r="436" spans="1:41" s="3" customFormat="1" ht="14.5" x14ac:dyDescent="0.3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 s="34"/>
      <c r="AJ436"/>
      <c r="AK436"/>
      <c r="AL436"/>
      <c r="AM436"/>
      <c r="AN436"/>
      <c r="AO436"/>
    </row>
    <row r="437" spans="1:41" s="3" customFormat="1" ht="14.5" x14ac:dyDescent="0.3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 s="34"/>
      <c r="AJ437"/>
      <c r="AK437"/>
      <c r="AL437"/>
      <c r="AM437"/>
      <c r="AN437"/>
      <c r="AO437"/>
    </row>
    <row r="438" spans="1:41" s="3" customFormat="1" ht="14.5" x14ac:dyDescent="0.3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 s="34"/>
      <c r="AJ438"/>
      <c r="AK438"/>
      <c r="AL438"/>
      <c r="AM438"/>
      <c r="AN438"/>
      <c r="AO438"/>
    </row>
    <row r="439" spans="1:41" s="3" customFormat="1" ht="14.5" x14ac:dyDescent="0.3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 s="34"/>
      <c r="AJ439"/>
      <c r="AK439"/>
      <c r="AL439"/>
      <c r="AM439"/>
      <c r="AN439"/>
      <c r="AO439"/>
    </row>
    <row r="440" spans="1:41" s="3" customFormat="1" ht="14.5" x14ac:dyDescent="0.3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 s="34"/>
      <c r="AJ440"/>
      <c r="AK440"/>
      <c r="AL440"/>
      <c r="AM440"/>
      <c r="AN440"/>
      <c r="AO440"/>
    </row>
    <row r="441" spans="1:41" s="3" customFormat="1" ht="14.5" x14ac:dyDescent="0.3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 s="34"/>
      <c r="AJ441"/>
      <c r="AK441"/>
      <c r="AL441"/>
      <c r="AM441"/>
      <c r="AN441"/>
      <c r="AO441"/>
    </row>
    <row r="442" spans="1:41" s="3" customFormat="1" ht="14.5" x14ac:dyDescent="0.3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 s="34"/>
      <c r="AJ442"/>
      <c r="AK442"/>
      <c r="AL442"/>
      <c r="AM442"/>
      <c r="AN442"/>
      <c r="AO442"/>
    </row>
    <row r="443" spans="1:41" s="3" customFormat="1" ht="14.5" x14ac:dyDescent="0.3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 s="34"/>
      <c r="AJ443"/>
      <c r="AK443"/>
      <c r="AL443"/>
      <c r="AM443"/>
      <c r="AN443"/>
      <c r="AO443"/>
    </row>
    <row r="444" spans="1:41" s="3" customFormat="1" ht="14.5" x14ac:dyDescent="0.3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 s="34"/>
      <c r="AJ444"/>
      <c r="AK444"/>
      <c r="AL444"/>
      <c r="AM444"/>
      <c r="AN444"/>
      <c r="AO444"/>
    </row>
    <row r="445" spans="1:41" s="3" customFormat="1" ht="14.5" x14ac:dyDescent="0.3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 s="34"/>
      <c r="AJ445"/>
      <c r="AK445"/>
      <c r="AL445"/>
      <c r="AM445"/>
      <c r="AN445"/>
      <c r="AO445"/>
    </row>
    <row r="446" spans="1:41" s="3" customFormat="1" ht="14.5" x14ac:dyDescent="0.3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 s="34"/>
      <c r="AJ446"/>
      <c r="AK446"/>
      <c r="AL446"/>
      <c r="AM446"/>
      <c r="AN446"/>
      <c r="AO446"/>
    </row>
    <row r="447" spans="1:41" s="3" customFormat="1" ht="14.5" x14ac:dyDescent="0.3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 s="34"/>
      <c r="AJ447"/>
      <c r="AK447"/>
      <c r="AL447"/>
      <c r="AM447"/>
      <c r="AN447"/>
      <c r="AO447"/>
    </row>
    <row r="448" spans="1:41" s="3" customFormat="1" ht="14.5" x14ac:dyDescent="0.3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 s="34"/>
      <c r="AJ448"/>
      <c r="AK448"/>
      <c r="AL448"/>
      <c r="AM448"/>
      <c r="AN448"/>
      <c r="AO448"/>
    </row>
    <row r="449" spans="1:41" s="3" customFormat="1" ht="14.5" x14ac:dyDescent="0.3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 s="34"/>
      <c r="AJ449"/>
      <c r="AK449"/>
      <c r="AL449"/>
      <c r="AM449"/>
      <c r="AN449"/>
      <c r="AO449"/>
    </row>
    <row r="450" spans="1:41" s="3" customFormat="1" ht="14.5" x14ac:dyDescent="0.3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 s="34"/>
      <c r="AJ450"/>
      <c r="AK450"/>
      <c r="AL450"/>
      <c r="AM450"/>
      <c r="AN450"/>
      <c r="AO450"/>
    </row>
    <row r="451" spans="1:41" s="3" customFormat="1" ht="14.5" x14ac:dyDescent="0.3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 s="34"/>
      <c r="AJ451"/>
      <c r="AK451"/>
      <c r="AL451"/>
      <c r="AM451"/>
      <c r="AN451"/>
      <c r="AO451"/>
    </row>
    <row r="452" spans="1:41" s="3" customFormat="1" ht="14.5" x14ac:dyDescent="0.3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 s="34"/>
      <c r="AJ452"/>
      <c r="AK452"/>
      <c r="AL452"/>
      <c r="AM452"/>
      <c r="AN452"/>
      <c r="AO452"/>
    </row>
    <row r="453" spans="1:41" s="3" customFormat="1" ht="14.5" x14ac:dyDescent="0.3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 s="34"/>
      <c r="AJ453"/>
      <c r="AK453"/>
      <c r="AL453"/>
      <c r="AM453"/>
      <c r="AN453"/>
      <c r="AO453"/>
    </row>
    <row r="454" spans="1:41" s="3" customFormat="1" ht="14.5" x14ac:dyDescent="0.3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 s="34"/>
      <c r="AJ454"/>
      <c r="AK454"/>
      <c r="AL454"/>
      <c r="AM454"/>
      <c r="AN454"/>
      <c r="AO454"/>
    </row>
    <row r="455" spans="1:41" s="3" customFormat="1" ht="14.5" x14ac:dyDescent="0.3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 s="34"/>
      <c r="AJ455"/>
      <c r="AK455"/>
      <c r="AL455"/>
      <c r="AM455"/>
      <c r="AN455"/>
      <c r="AO455"/>
    </row>
    <row r="456" spans="1:41" s="3" customFormat="1" ht="14.5" x14ac:dyDescent="0.3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 s="34"/>
      <c r="AJ456"/>
      <c r="AK456"/>
      <c r="AL456"/>
      <c r="AM456"/>
      <c r="AN456"/>
      <c r="AO456"/>
    </row>
    <row r="457" spans="1:41" s="3" customFormat="1" ht="14.5" x14ac:dyDescent="0.3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 s="34"/>
      <c r="AJ457"/>
      <c r="AK457"/>
      <c r="AL457"/>
      <c r="AM457"/>
      <c r="AN457"/>
      <c r="AO457"/>
    </row>
    <row r="458" spans="1:41" s="3" customFormat="1" ht="14.5" x14ac:dyDescent="0.3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 s="34"/>
      <c r="AJ458"/>
      <c r="AK458"/>
      <c r="AL458"/>
      <c r="AM458"/>
      <c r="AN458"/>
      <c r="AO458"/>
    </row>
    <row r="459" spans="1:41" s="3" customFormat="1" ht="14.5" x14ac:dyDescent="0.3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 s="34"/>
      <c r="AJ459"/>
      <c r="AK459"/>
      <c r="AL459"/>
      <c r="AM459"/>
      <c r="AN459"/>
      <c r="AO459"/>
    </row>
    <row r="460" spans="1:41" s="3" customFormat="1" ht="14.5" x14ac:dyDescent="0.3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 s="34"/>
      <c r="AJ460"/>
      <c r="AK460"/>
      <c r="AL460"/>
      <c r="AM460"/>
      <c r="AN460"/>
      <c r="AO460"/>
    </row>
    <row r="461" spans="1:41" s="3" customFormat="1" ht="14.5" x14ac:dyDescent="0.3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 s="34"/>
      <c r="AJ461"/>
      <c r="AK461"/>
      <c r="AL461"/>
      <c r="AM461"/>
      <c r="AN461"/>
      <c r="AO461"/>
    </row>
    <row r="462" spans="1:41" s="3" customFormat="1" ht="14.5" x14ac:dyDescent="0.3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 s="34"/>
      <c r="AJ462"/>
      <c r="AK462"/>
      <c r="AL462"/>
      <c r="AM462"/>
      <c r="AN462"/>
      <c r="AO462"/>
    </row>
    <row r="463" spans="1:41" s="3" customFormat="1" ht="14.5" x14ac:dyDescent="0.3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 s="34"/>
      <c r="AJ463"/>
      <c r="AK463"/>
      <c r="AL463"/>
      <c r="AM463"/>
      <c r="AN463"/>
      <c r="AO463"/>
    </row>
    <row r="464" spans="1:41" s="3" customFormat="1" ht="14.5" x14ac:dyDescent="0.3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 s="34"/>
      <c r="AJ464"/>
      <c r="AK464"/>
      <c r="AL464"/>
      <c r="AM464"/>
      <c r="AN464"/>
      <c r="AO464"/>
    </row>
    <row r="465" spans="1:41" s="3" customFormat="1" ht="14.5" x14ac:dyDescent="0.3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 s="34"/>
      <c r="AJ465"/>
      <c r="AK465"/>
      <c r="AL465"/>
      <c r="AM465"/>
      <c r="AN465"/>
      <c r="AO465"/>
    </row>
    <row r="466" spans="1:41" s="3" customFormat="1" ht="14.5" x14ac:dyDescent="0.3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 s="34"/>
      <c r="AJ466"/>
      <c r="AK466"/>
      <c r="AL466"/>
      <c r="AM466"/>
      <c r="AN466"/>
      <c r="AO466"/>
    </row>
    <row r="467" spans="1:41" s="3" customFormat="1" ht="14.5" x14ac:dyDescent="0.3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 s="34"/>
      <c r="AJ467"/>
      <c r="AK467"/>
      <c r="AL467"/>
      <c r="AM467"/>
      <c r="AN467"/>
      <c r="AO467"/>
    </row>
    <row r="468" spans="1:41" s="3" customFormat="1" ht="14.5" x14ac:dyDescent="0.3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 s="34"/>
      <c r="AJ468"/>
      <c r="AK468"/>
      <c r="AL468"/>
      <c r="AM468"/>
      <c r="AN468"/>
      <c r="AO468"/>
    </row>
    <row r="469" spans="1:41" s="3" customFormat="1" ht="14.5" x14ac:dyDescent="0.3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 s="34"/>
      <c r="AJ469"/>
      <c r="AK469"/>
      <c r="AL469"/>
      <c r="AM469"/>
      <c r="AN469"/>
      <c r="AO469"/>
    </row>
    <row r="470" spans="1:41" s="3" customFormat="1" ht="14.5" x14ac:dyDescent="0.3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 s="34"/>
      <c r="AJ470"/>
      <c r="AK470"/>
      <c r="AL470"/>
      <c r="AM470"/>
      <c r="AN470"/>
      <c r="AO470"/>
    </row>
    <row r="471" spans="1:41" s="3" customFormat="1" ht="14.5" x14ac:dyDescent="0.3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 s="34"/>
      <c r="AJ471"/>
      <c r="AK471"/>
      <c r="AL471"/>
      <c r="AM471"/>
      <c r="AN471"/>
      <c r="AO471"/>
    </row>
    <row r="472" spans="1:41" s="3" customFormat="1" ht="14.5" x14ac:dyDescent="0.3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 s="34"/>
      <c r="AJ472"/>
      <c r="AK472"/>
      <c r="AL472"/>
      <c r="AM472"/>
      <c r="AN472"/>
      <c r="AO472"/>
    </row>
    <row r="473" spans="1:41" s="3" customFormat="1" ht="14.5" x14ac:dyDescent="0.3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 s="34"/>
      <c r="AJ473"/>
      <c r="AK473"/>
      <c r="AL473"/>
      <c r="AM473"/>
      <c r="AN473"/>
      <c r="AO473"/>
    </row>
    <row r="474" spans="1:41" s="3" customFormat="1" ht="14.5" x14ac:dyDescent="0.3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 s="34"/>
      <c r="AJ474"/>
      <c r="AK474"/>
      <c r="AL474"/>
      <c r="AM474"/>
      <c r="AN474"/>
      <c r="AO474"/>
    </row>
    <row r="475" spans="1:41" s="3" customFormat="1" ht="14.5" x14ac:dyDescent="0.3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 s="34"/>
      <c r="AJ475"/>
      <c r="AK475"/>
      <c r="AL475"/>
      <c r="AM475"/>
      <c r="AN475"/>
      <c r="AO475"/>
    </row>
    <row r="476" spans="1:41" s="3" customFormat="1" ht="14.5" x14ac:dyDescent="0.3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 s="34"/>
      <c r="AJ476"/>
      <c r="AK476"/>
      <c r="AL476"/>
      <c r="AM476"/>
      <c r="AN476"/>
      <c r="AO476"/>
    </row>
    <row r="477" spans="1:41" s="3" customFormat="1" ht="14.5" x14ac:dyDescent="0.3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 s="34"/>
      <c r="AJ477"/>
      <c r="AK477"/>
      <c r="AL477"/>
      <c r="AM477"/>
      <c r="AN477"/>
      <c r="AO477"/>
    </row>
    <row r="478" spans="1:41" s="3" customFormat="1" ht="14.5" x14ac:dyDescent="0.3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 s="34"/>
      <c r="AJ478"/>
      <c r="AK478"/>
      <c r="AL478"/>
      <c r="AM478"/>
      <c r="AN478"/>
      <c r="AO478"/>
    </row>
    <row r="479" spans="1:41" s="3" customFormat="1" ht="14.5" x14ac:dyDescent="0.3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 s="34"/>
      <c r="AJ479"/>
      <c r="AK479"/>
      <c r="AL479"/>
      <c r="AM479"/>
      <c r="AN479"/>
      <c r="AO479"/>
    </row>
    <row r="480" spans="1:41" s="3" customFormat="1" ht="14.5" x14ac:dyDescent="0.3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 s="34"/>
      <c r="AJ480"/>
      <c r="AK480"/>
      <c r="AL480"/>
      <c r="AM480"/>
      <c r="AN480"/>
      <c r="AO480"/>
    </row>
    <row r="481" spans="1:41" s="3" customFormat="1" ht="14.5" x14ac:dyDescent="0.3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 s="34"/>
      <c r="AJ481"/>
      <c r="AK481"/>
      <c r="AL481"/>
      <c r="AM481"/>
      <c r="AN481"/>
      <c r="AO481"/>
    </row>
    <row r="482" spans="1:41" s="3" customFormat="1" ht="14.5" x14ac:dyDescent="0.3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 s="34"/>
      <c r="AJ482"/>
      <c r="AK482"/>
      <c r="AL482"/>
      <c r="AM482"/>
      <c r="AN482"/>
      <c r="AO482"/>
    </row>
    <row r="483" spans="1:41" s="3" customFormat="1" ht="14.5" x14ac:dyDescent="0.3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 s="34"/>
      <c r="AJ483"/>
      <c r="AK483"/>
      <c r="AL483"/>
      <c r="AM483"/>
      <c r="AN483"/>
      <c r="AO483"/>
    </row>
    <row r="484" spans="1:41" s="3" customFormat="1" ht="14.5" x14ac:dyDescent="0.3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 s="34"/>
      <c r="AJ484"/>
      <c r="AK484"/>
      <c r="AL484"/>
      <c r="AM484"/>
      <c r="AN484"/>
      <c r="AO484"/>
    </row>
    <row r="485" spans="1:41" s="3" customFormat="1" ht="14.5" x14ac:dyDescent="0.3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 s="34"/>
      <c r="AJ485"/>
      <c r="AK485"/>
      <c r="AL485"/>
      <c r="AM485"/>
      <c r="AN485"/>
      <c r="AO485"/>
    </row>
    <row r="486" spans="1:41" s="3" customFormat="1" ht="14.5" x14ac:dyDescent="0.3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 s="34"/>
      <c r="AJ486"/>
      <c r="AK486"/>
      <c r="AL486"/>
      <c r="AM486"/>
      <c r="AN486"/>
      <c r="AO486"/>
    </row>
    <row r="487" spans="1:41" s="3" customFormat="1" ht="14.5" x14ac:dyDescent="0.3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 s="34"/>
      <c r="AJ487"/>
      <c r="AK487"/>
      <c r="AL487"/>
      <c r="AM487"/>
      <c r="AN487"/>
      <c r="AO487"/>
    </row>
    <row r="488" spans="1:41" s="3" customFormat="1" ht="14.5" x14ac:dyDescent="0.3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 s="34"/>
      <c r="AJ488"/>
      <c r="AK488"/>
      <c r="AL488"/>
      <c r="AM488"/>
      <c r="AN488"/>
      <c r="AO488"/>
    </row>
    <row r="489" spans="1:41" s="3" customFormat="1" ht="14.5" x14ac:dyDescent="0.3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 s="34"/>
      <c r="AJ489"/>
      <c r="AK489"/>
      <c r="AL489"/>
      <c r="AM489"/>
      <c r="AN489"/>
      <c r="AO489"/>
    </row>
    <row r="490" spans="1:41" s="3" customFormat="1" ht="14.5" x14ac:dyDescent="0.3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 s="34"/>
      <c r="AJ490"/>
      <c r="AK490"/>
      <c r="AL490"/>
      <c r="AM490"/>
      <c r="AN490"/>
      <c r="AO490"/>
    </row>
    <row r="491" spans="1:41" s="3" customFormat="1" ht="14.5" x14ac:dyDescent="0.3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 s="34"/>
      <c r="AJ491"/>
      <c r="AK491"/>
      <c r="AL491"/>
      <c r="AM491"/>
      <c r="AN491"/>
      <c r="AO491"/>
    </row>
    <row r="492" spans="1:41" s="3" customFormat="1" ht="14.5" x14ac:dyDescent="0.3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 s="34"/>
      <c r="AJ492"/>
      <c r="AK492"/>
      <c r="AL492"/>
      <c r="AM492"/>
      <c r="AN492"/>
      <c r="AO492"/>
    </row>
    <row r="493" spans="1:41" s="3" customFormat="1" ht="14.5" x14ac:dyDescent="0.3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 s="34"/>
      <c r="AJ493"/>
      <c r="AK493"/>
      <c r="AL493"/>
      <c r="AM493"/>
      <c r="AN493"/>
      <c r="AO493"/>
    </row>
    <row r="494" spans="1:41" s="3" customFormat="1" ht="14.5" x14ac:dyDescent="0.3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 s="34"/>
      <c r="AJ494"/>
      <c r="AK494"/>
      <c r="AL494"/>
      <c r="AM494"/>
      <c r="AN494"/>
      <c r="AO494"/>
    </row>
    <row r="495" spans="1:41" s="3" customFormat="1" ht="14.5" x14ac:dyDescent="0.3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 s="34"/>
      <c r="AJ495"/>
      <c r="AK495"/>
      <c r="AL495"/>
      <c r="AM495"/>
      <c r="AN495"/>
      <c r="AO495"/>
    </row>
    <row r="496" spans="1:41" s="3" customFormat="1" ht="14.5" x14ac:dyDescent="0.3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 s="34"/>
      <c r="AJ496"/>
      <c r="AK496"/>
      <c r="AL496"/>
      <c r="AM496"/>
      <c r="AN496"/>
      <c r="AO496"/>
    </row>
    <row r="497" spans="1:41" s="3" customFormat="1" ht="14.5" x14ac:dyDescent="0.3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 s="34"/>
      <c r="AJ497"/>
      <c r="AK497"/>
      <c r="AL497"/>
      <c r="AM497"/>
      <c r="AN497"/>
      <c r="AO497"/>
    </row>
    <row r="498" spans="1:41" s="3" customFormat="1" ht="14.5" x14ac:dyDescent="0.3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 s="34"/>
      <c r="AJ498"/>
      <c r="AK498"/>
      <c r="AL498"/>
      <c r="AM498"/>
      <c r="AN498"/>
      <c r="AO498"/>
    </row>
    <row r="499" spans="1:41" s="3" customFormat="1" ht="14.5" x14ac:dyDescent="0.3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 s="34"/>
      <c r="AJ499"/>
      <c r="AK499"/>
      <c r="AL499"/>
      <c r="AM499"/>
      <c r="AN499"/>
      <c r="AO499"/>
    </row>
    <row r="500" spans="1:41" s="3" customFormat="1" ht="14.5" x14ac:dyDescent="0.3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 s="34"/>
      <c r="AJ500"/>
      <c r="AK500"/>
      <c r="AL500"/>
      <c r="AM500"/>
      <c r="AN500"/>
      <c r="AO500"/>
    </row>
    <row r="501" spans="1:41" s="3" customFormat="1" ht="14.5" x14ac:dyDescent="0.3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 s="34"/>
      <c r="AJ501"/>
      <c r="AK501"/>
      <c r="AL501"/>
      <c r="AM501"/>
      <c r="AN501"/>
      <c r="AO501"/>
    </row>
    <row r="502" spans="1:41" s="3" customFormat="1" ht="14.5" x14ac:dyDescent="0.3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 s="34"/>
      <c r="AJ502"/>
      <c r="AK502"/>
      <c r="AL502"/>
      <c r="AM502"/>
      <c r="AN502"/>
      <c r="AO502"/>
    </row>
    <row r="503" spans="1:41" s="3" customFormat="1" ht="14.5" x14ac:dyDescent="0.3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 s="34"/>
      <c r="AJ503"/>
      <c r="AK503"/>
      <c r="AL503"/>
      <c r="AM503"/>
      <c r="AN503"/>
      <c r="AO503"/>
    </row>
    <row r="504" spans="1:41" s="3" customFormat="1" ht="14.5" x14ac:dyDescent="0.3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 s="34"/>
      <c r="AJ504"/>
      <c r="AK504"/>
      <c r="AL504"/>
      <c r="AM504"/>
      <c r="AN504"/>
      <c r="AO504"/>
    </row>
    <row r="505" spans="1:41" s="3" customFormat="1" ht="14.5" x14ac:dyDescent="0.3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 s="34"/>
      <c r="AJ505"/>
      <c r="AK505"/>
      <c r="AL505"/>
      <c r="AM505"/>
      <c r="AN505"/>
      <c r="AO505"/>
    </row>
    <row r="506" spans="1:41" s="3" customFormat="1" ht="14.5" x14ac:dyDescent="0.3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 s="34"/>
      <c r="AJ506"/>
      <c r="AK506"/>
      <c r="AL506"/>
      <c r="AM506"/>
      <c r="AN506"/>
      <c r="AO506"/>
    </row>
    <row r="507" spans="1:41" s="3" customFormat="1" ht="14.5" x14ac:dyDescent="0.3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 s="34"/>
      <c r="AJ507"/>
      <c r="AK507"/>
      <c r="AL507"/>
      <c r="AM507"/>
      <c r="AN507"/>
      <c r="AO507"/>
    </row>
    <row r="508" spans="1:41" s="3" customFormat="1" ht="14.5" x14ac:dyDescent="0.3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 s="34"/>
      <c r="AJ508"/>
      <c r="AK508"/>
      <c r="AL508"/>
      <c r="AM508"/>
      <c r="AN508"/>
      <c r="AO508"/>
    </row>
    <row r="509" spans="1:41" s="3" customFormat="1" ht="14.5" x14ac:dyDescent="0.3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 s="34"/>
      <c r="AJ509"/>
      <c r="AK509"/>
      <c r="AL509"/>
      <c r="AM509"/>
      <c r="AN509"/>
      <c r="AO509"/>
    </row>
    <row r="510" spans="1:41" s="3" customFormat="1" ht="14.5" x14ac:dyDescent="0.3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 s="34"/>
      <c r="AJ510"/>
      <c r="AK510"/>
      <c r="AL510"/>
      <c r="AM510"/>
      <c r="AN510"/>
      <c r="AO510"/>
    </row>
    <row r="511" spans="1:41" s="3" customFormat="1" ht="14.5" x14ac:dyDescent="0.3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 s="34"/>
      <c r="AJ511"/>
      <c r="AK511"/>
      <c r="AL511"/>
      <c r="AM511"/>
      <c r="AN511"/>
      <c r="AO511"/>
    </row>
    <row r="512" spans="1:41" s="3" customFormat="1" ht="14.5" x14ac:dyDescent="0.3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 s="34"/>
      <c r="AJ512"/>
      <c r="AK512"/>
      <c r="AL512"/>
      <c r="AM512"/>
      <c r="AN512"/>
      <c r="AO512"/>
    </row>
    <row r="513" spans="1:41" s="3" customFormat="1" ht="14.5" x14ac:dyDescent="0.3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 s="34"/>
      <c r="AJ513"/>
      <c r="AK513"/>
      <c r="AL513"/>
      <c r="AM513"/>
      <c r="AN513"/>
      <c r="AO513"/>
    </row>
    <row r="514" spans="1:41" s="3" customFormat="1" ht="14.5" x14ac:dyDescent="0.3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 s="34"/>
      <c r="AJ514"/>
      <c r="AK514"/>
      <c r="AL514"/>
      <c r="AM514"/>
      <c r="AN514"/>
      <c r="AO514"/>
    </row>
    <row r="515" spans="1:41" s="3" customFormat="1" ht="14.5" x14ac:dyDescent="0.3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 s="34"/>
      <c r="AJ515"/>
      <c r="AK515"/>
      <c r="AL515"/>
      <c r="AM515"/>
      <c r="AN515"/>
      <c r="AO515"/>
    </row>
    <row r="516" spans="1:41" s="3" customFormat="1" ht="14.5" x14ac:dyDescent="0.3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 s="34"/>
      <c r="AJ516"/>
      <c r="AK516"/>
      <c r="AL516"/>
      <c r="AM516"/>
      <c r="AN516"/>
      <c r="AO516"/>
    </row>
    <row r="517" spans="1:41" s="3" customFormat="1" ht="14.5" x14ac:dyDescent="0.3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 s="34"/>
      <c r="AJ517"/>
      <c r="AK517"/>
      <c r="AL517"/>
      <c r="AM517"/>
      <c r="AN517"/>
      <c r="AO517"/>
    </row>
    <row r="518" spans="1:41" s="3" customFormat="1" ht="14.5" x14ac:dyDescent="0.3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 s="34"/>
      <c r="AJ518"/>
      <c r="AK518"/>
      <c r="AL518"/>
      <c r="AM518"/>
      <c r="AN518"/>
      <c r="AO518"/>
    </row>
    <row r="519" spans="1:41" s="3" customFormat="1" ht="14.5" x14ac:dyDescent="0.3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 s="34"/>
      <c r="AJ519"/>
      <c r="AK519"/>
      <c r="AL519"/>
      <c r="AM519"/>
      <c r="AN519"/>
      <c r="AO519"/>
    </row>
    <row r="520" spans="1:41" s="3" customFormat="1" ht="14.5" x14ac:dyDescent="0.3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 s="34"/>
      <c r="AJ520"/>
      <c r="AK520"/>
      <c r="AL520"/>
      <c r="AM520"/>
      <c r="AN520"/>
      <c r="AO520"/>
    </row>
    <row r="521" spans="1:41" s="3" customFormat="1" ht="14.5" x14ac:dyDescent="0.3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 s="34"/>
      <c r="AJ521"/>
      <c r="AK521"/>
      <c r="AL521"/>
      <c r="AM521"/>
      <c r="AN521"/>
      <c r="AO521"/>
    </row>
    <row r="522" spans="1:41" s="3" customFormat="1" ht="14.5" x14ac:dyDescent="0.3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 s="34"/>
      <c r="AJ522"/>
      <c r="AK522"/>
      <c r="AL522"/>
      <c r="AM522"/>
      <c r="AN522"/>
      <c r="AO522"/>
    </row>
    <row r="523" spans="1:41" s="3" customFormat="1" ht="14.5" x14ac:dyDescent="0.3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 s="34"/>
      <c r="AJ523"/>
      <c r="AK523"/>
      <c r="AL523"/>
      <c r="AM523"/>
      <c r="AN523"/>
      <c r="AO523"/>
    </row>
    <row r="524" spans="1:41" s="3" customFormat="1" ht="14.5" x14ac:dyDescent="0.3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 s="34"/>
      <c r="AJ524"/>
      <c r="AK524"/>
      <c r="AL524"/>
      <c r="AM524"/>
      <c r="AN524"/>
      <c r="AO524"/>
    </row>
    <row r="525" spans="1:41" s="3" customFormat="1" ht="14.5" x14ac:dyDescent="0.3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 s="34"/>
      <c r="AJ525"/>
      <c r="AK525"/>
      <c r="AL525"/>
      <c r="AM525"/>
      <c r="AN525"/>
      <c r="AO525"/>
    </row>
    <row r="526" spans="1:41" s="3" customFormat="1" ht="14.5" x14ac:dyDescent="0.3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 s="34"/>
      <c r="AJ526"/>
      <c r="AK526"/>
      <c r="AL526"/>
      <c r="AM526"/>
      <c r="AN526"/>
      <c r="AO526"/>
    </row>
    <row r="527" spans="1:41" s="3" customFormat="1" ht="14.5" x14ac:dyDescent="0.3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 s="34"/>
      <c r="AJ527"/>
      <c r="AK527"/>
      <c r="AL527"/>
      <c r="AM527"/>
      <c r="AN527"/>
      <c r="AO527"/>
    </row>
    <row r="528" spans="1:41" s="3" customFormat="1" ht="14.5" x14ac:dyDescent="0.3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 s="34"/>
      <c r="AJ528"/>
      <c r="AK528"/>
      <c r="AL528"/>
      <c r="AM528"/>
      <c r="AN528"/>
      <c r="AO528"/>
    </row>
    <row r="529" spans="1:41" s="3" customFormat="1" ht="14.5" x14ac:dyDescent="0.3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 s="34"/>
      <c r="AJ529"/>
      <c r="AK529"/>
      <c r="AL529"/>
      <c r="AM529"/>
      <c r="AN529"/>
      <c r="AO529"/>
    </row>
    <row r="530" spans="1:41" s="3" customFormat="1" ht="14.5" x14ac:dyDescent="0.3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 s="34"/>
      <c r="AJ530"/>
      <c r="AK530"/>
      <c r="AL530"/>
      <c r="AM530"/>
      <c r="AN530"/>
      <c r="AO530"/>
    </row>
    <row r="531" spans="1:41" s="3" customFormat="1" ht="14.5" x14ac:dyDescent="0.3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 s="34"/>
      <c r="AJ531"/>
      <c r="AK531"/>
      <c r="AL531"/>
      <c r="AM531"/>
      <c r="AN531"/>
      <c r="AO531"/>
    </row>
    <row r="532" spans="1:41" s="3" customFormat="1" ht="14.5" x14ac:dyDescent="0.3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 s="34"/>
      <c r="AJ532"/>
      <c r="AK532"/>
      <c r="AL532"/>
      <c r="AM532"/>
      <c r="AN532"/>
      <c r="AO532"/>
    </row>
    <row r="533" spans="1:41" s="3" customFormat="1" ht="14.5" x14ac:dyDescent="0.3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 s="34"/>
      <c r="AJ533"/>
      <c r="AK533"/>
      <c r="AL533"/>
      <c r="AM533"/>
      <c r="AN533"/>
      <c r="AO533"/>
    </row>
    <row r="534" spans="1:41" s="3" customFormat="1" ht="14.5" x14ac:dyDescent="0.3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 s="34"/>
      <c r="AJ534"/>
      <c r="AK534"/>
      <c r="AL534"/>
      <c r="AM534"/>
      <c r="AN534"/>
      <c r="AO534"/>
    </row>
    <row r="535" spans="1:41" s="3" customFormat="1" ht="14.5" x14ac:dyDescent="0.3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 s="34"/>
      <c r="AJ535"/>
      <c r="AK535"/>
      <c r="AL535"/>
      <c r="AM535"/>
      <c r="AN535"/>
      <c r="AO535"/>
    </row>
    <row r="536" spans="1:41" s="3" customFormat="1" ht="14.5" x14ac:dyDescent="0.3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 s="34"/>
      <c r="AJ536"/>
      <c r="AK536"/>
      <c r="AL536"/>
      <c r="AM536"/>
      <c r="AN536"/>
      <c r="AO536"/>
    </row>
    <row r="537" spans="1:41" s="3" customFormat="1" ht="14.5" x14ac:dyDescent="0.3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 s="34"/>
      <c r="AJ537"/>
      <c r="AK537"/>
      <c r="AL537"/>
      <c r="AM537"/>
      <c r="AN537"/>
      <c r="AO537"/>
    </row>
    <row r="538" spans="1:41" s="3" customFormat="1" ht="14.5" x14ac:dyDescent="0.3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 s="34"/>
      <c r="AJ538"/>
      <c r="AK538"/>
      <c r="AL538"/>
      <c r="AM538"/>
      <c r="AN538"/>
      <c r="AO538"/>
    </row>
    <row r="539" spans="1:41" s="3" customFormat="1" ht="14.5" x14ac:dyDescent="0.3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 s="34"/>
      <c r="AJ539"/>
      <c r="AK539"/>
      <c r="AL539"/>
      <c r="AM539"/>
      <c r="AN539"/>
      <c r="AO539"/>
    </row>
    <row r="540" spans="1:41" s="3" customFormat="1" ht="14.5" x14ac:dyDescent="0.3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 s="34"/>
      <c r="AJ540"/>
      <c r="AK540"/>
      <c r="AL540"/>
      <c r="AM540"/>
      <c r="AN540"/>
      <c r="AO540"/>
    </row>
    <row r="541" spans="1:41" s="3" customFormat="1" ht="14.5" x14ac:dyDescent="0.3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 s="34"/>
      <c r="AJ541"/>
      <c r="AK541"/>
      <c r="AL541"/>
      <c r="AM541"/>
      <c r="AN541"/>
      <c r="AO541"/>
    </row>
    <row r="542" spans="1:41" s="3" customFormat="1" ht="14.5" x14ac:dyDescent="0.3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 s="34"/>
      <c r="AJ542"/>
      <c r="AK542"/>
      <c r="AL542"/>
      <c r="AM542"/>
      <c r="AN542"/>
      <c r="AO542"/>
    </row>
    <row r="543" spans="1:41" s="3" customFormat="1" ht="14.5" x14ac:dyDescent="0.3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 s="34"/>
      <c r="AJ543"/>
      <c r="AK543"/>
      <c r="AL543"/>
      <c r="AM543"/>
      <c r="AN543"/>
      <c r="AO543"/>
    </row>
    <row r="544" spans="1:41" s="3" customFormat="1" ht="14.5" x14ac:dyDescent="0.3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 s="34"/>
      <c r="AJ544"/>
      <c r="AK544"/>
      <c r="AL544"/>
      <c r="AM544"/>
      <c r="AN544"/>
      <c r="AO544"/>
    </row>
    <row r="545" spans="1:41" s="3" customFormat="1" ht="14.5" x14ac:dyDescent="0.3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 s="34"/>
      <c r="AJ545"/>
      <c r="AK545"/>
      <c r="AL545"/>
      <c r="AM545"/>
      <c r="AN545"/>
      <c r="AO545"/>
    </row>
    <row r="546" spans="1:41" s="3" customFormat="1" ht="14.5" x14ac:dyDescent="0.3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 s="34"/>
      <c r="AJ546"/>
      <c r="AK546"/>
      <c r="AL546"/>
      <c r="AM546"/>
      <c r="AN546"/>
      <c r="AO546"/>
    </row>
    <row r="547" spans="1:41" s="3" customFormat="1" ht="14.5" x14ac:dyDescent="0.3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 s="34"/>
      <c r="AJ547"/>
      <c r="AK547"/>
      <c r="AL547"/>
      <c r="AM547"/>
      <c r="AN547"/>
      <c r="AO547"/>
    </row>
    <row r="548" spans="1:41" s="3" customFormat="1" ht="14.5" x14ac:dyDescent="0.3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 s="34"/>
      <c r="AJ548"/>
      <c r="AK548"/>
      <c r="AL548"/>
      <c r="AM548"/>
      <c r="AN548"/>
      <c r="AO548"/>
    </row>
    <row r="549" spans="1:41" s="3" customFormat="1" ht="14.5" x14ac:dyDescent="0.3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 s="34"/>
      <c r="AJ549"/>
      <c r="AK549"/>
      <c r="AL549"/>
      <c r="AM549"/>
      <c r="AN549"/>
      <c r="AO549"/>
    </row>
    <row r="550" spans="1:41" s="3" customFormat="1" ht="14.5" x14ac:dyDescent="0.3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 s="34"/>
      <c r="AJ550"/>
      <c r="AK550"/>
      <c r="AL550"/>
      <c r="AM550"/>
      <c r="AN550"/>
      <c r="AO550"/>
    </row>
    <row r="551" spans="1:41" s="3" customFormat="1" ht="14.5" x14ac:dyDescent="0.3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 s="34"/>
      <c r="AJ551"/>
      <c r="AK551"/>
      <c r="AL551"/>
      <c r="AM551"/>
      <c r="AN551"/>
      <c r="AO551"/>
    </row>
    <row r="552" spans="1:41" s="3" customFormat="1" ht="14.5" x14ac:dyDescent="0.3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 s="34"/>
      <c r="AJ552"/>
      <c r="AK552"/>
      <c r="AL552"/>
      <c r="AM552"/>
      <c r="AN552"/>
      <c r="AO552"/>
    </row>
    <row r="553" spans="1:41" s="3" customFormat="1" ht="14.5" x14ac:dyDescent="0.3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 s="34"/>
      <c r="AJ553"/>
      <c r="AK553"/>
      <c r="AL553"/>
      <c r="AM553"/>
      <c r="AN553"/>
      <c r="AO553"/>
    </row>
    <row r="554" spans="1:41" s="3" customFormat="1" ht="14.5" x14ac:dyDescent="0.3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 s="34"/>
      <c r="AJ554"/>
      <c r="AK554"/>
      <c r="AL554"/>
      <c r="AM554"/>
      <c r="AN554"/>
      <c r="AO554"/>
    </row>
    <row r="555" spans="1:41" s="3" customFormat="1" ht="14.5" x14ac:dyDescent="0.3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 s="34"/>
      <c r="AJ555"/>
      <c r="AK555"/>
      <c r="AL555"/>
      <c r="AM555"/>
      <c r="AN555"/>
      <c r="AO555"/>
    </row>
    <row r="556" spans="1:41" s="3" customFormat="1" ht="14.5" x14ac:dyDescent="0.3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 s="34"/>
      <c r="AJ556"/>
      <c r="AK556"/>
      <c r="AL556"/>
      <c r="AM556"/>
      <c r="AN556"/>
      <c r="AO556"/>
    </row>
    <row r="557" spans="1:41" s="3" customFormat="1" ht="14.5" x14ac:dyDescent="0.3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 s="34"/>
      <c r="AJ557"/>
      <c r="AK557"/>
      <c r="AL557"/>
      <c r="AM557"/>
      <c r="AN557"/>
      <c r="AO557"/>
    </row>
    <row r="558" spans="1:41" s="3" customFormat="1" ht="14.5" x14ac:dyDescent="0.3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 s="34"/>
      <c r="AJ558"/>
      <c r="AK558"/>
      <c r="AL558"/>
      <c r="AM558"/>
      <c r="AN558"/>
      <c r="AO558"/>
    </row>
    <row r="559" spans="1:41" s="3" customFormat="1" ht="14.5" x14ac:dyDescent="0.3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 s="34"/>
      <c r="AJ559"/>
      <c r="AK559"/>
      <c r="AL559"/>
      <c r="AM559"/>
      <c r="AN559"/>
      <c r="AO559"/>
    </row>
    <row r="560" spans="1:41" s="3" customFormat="1" ht="14.5" x14ac:dyDescent="0.3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 s="34"/>
      <c r="AJ560"/>
      <c r="AK560"/>
      <c r="AL560"/>
      <c r="AM560"/>
      <c r="AN560"/>
      <c r="AO560"/>
    </row>
    <row r="561" spans="1:41" s="3" customFormat="1" ht="14.5" x14ac:dyDescent="0.3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 s="34"/>
      <c r="AJ561"/>
      <c r="AK561"/>
      <c r="AL561"/>
      <c r="AM561"/>
      <c r="AN561"/>
      <c r="AO561"/>
    </row>
    <row r="562" spans="1:41" s="3" customFormat="1" ht="14.5" x14ac:dyDescent="0.3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 s="34"/>
      <c r="AJ562"/>
      <c r="AK562"/>
      <c r="AL562"/>
      <c r="AM562"/>
      <c r="AN562"/>
      <c r="AO562"/>
    </row>
    <row r="563" spans="1:41" s="3" customFormat="1" ht="14.5" x14ac:dyDescent="0.3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 s="34"/>
      <c r="AJ563"/>
      <c r="AK563"/>
      <c r="AL563"/>
      <c r="AM563"/>
      <c r="AN563"/>
      <c r="AO563"/>
    </row>
    <row r="564" spans="1:41" s="3" customFormat="1" ht="14.5" x14ac:dyDescent="0.3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 s="34"/>
      <c r="AJ564"/>
      <c r="AK564"/>
      <c r="AL564"/>
      <c r="AM564"/>
      <c r="AN564"/>
      <c r="AO564"/>
    </row>
    <row r="565" spans="1:41" s="3" customFormat="1" ht="14.5" x14ac:dyDescent="0.3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 s="34"/>
      <c r="AJ565"/>
      <c r="AK565"/>
      <c r="AL565"/>
      <c r="AM565"/>
      <c r="AN565"/>
      <c r="AO565"/>
    </row>
    <row r="566" spans="1:41" s="3" customFormat="1" ht="14.5" x14ac:dyDescent="0.3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 s="34"/>
      <c r="AJ566"/>
      <c r="AK566"/>
      <c r="AL566"/>
      <c r="AM566"/>
      <c r="AN566"/>
      <c r="AO566"/>
    </row>
    <row r="567" spans="1:41" s="3" customFormat="1" ht="14.5" x14ac:dyDescent="0.3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 s="34"/>
      <c r="AJ567"/>
      <c r="AK567"/>
      <c r="AL567"/>
      <c r="AM567"/>
      <c r="AN567"/>
      <c r="AO567"/>
    </row>
    <row r="568" spans="1:41" s="3" customFormat="1" ht="14.5" x14ac:dyDescent="0.3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 s="34"/>
      <c r="AJ568"/>
      <c r="AK568"/>
      <c r="AL568"/>
      <c r="AM568"/>
      <c r="AN568"/>
      <c r="AO568"/>
    </row>
    <row r="569" spans="1:41" s="3" customFormat="1" ht="14.5" x14ac:dyDescent="0.3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 s="34"/>
      <c r="AJ569"/>
      <c r="AK569"/>
      <c r="AL569"/>
      <c r="AM569"/>
      <c r="AN569"/>
      <c r="AO569"/>
    </row>
    <row r="570" spans="1:41" s="3" customFormat="1" ht="14.5" x14ac:dyDescent="0.3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 s="34"/>
      <c r="AJ570"/>
      <c r="AK570"/>
      <c r="AL570"/>
      <c r="AM570"/>
      <c r="AN570"/>
      <c r="AO570"/>
    </row>
    <row r="571" spans="1:41" s="3" customFormat="1" ht="14.5" x14ac:dyDescent="0.3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 s="34"/>
      <c r="AJ571"/>
      <c r="AK571"/>
      <c r="AL571"/>
      <c r="AM571"/>
      <c r="AN571"/>
      <c r="AO571"/>
    </row>
    <row r="572" spans="1:41" s="3" customFormat="1" ht="14.5" x14ac:dyDescent="0.3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 s="34"/>
      <c r="AJ572"/>
      <c r="AK572"/>
      <c r="AL572"/>
      <c r="AM572"/>
      <c r="AN572"/>
      <c r="AO572"/>
    </row>
    <row r="573" spans="1:41" s="3" customFormat="1" ht="14.5" x14ac:dyDescent="0.3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 s="34"/>
      <c r="AJ573"/>
      <c r="AK573"/>
      <c r="AL573"/>
      <c r="AM573"/>
      <c r="AN573"/>
      <c r="AO573"/>
    </row>
    <row r="574" spans="1:41" s="3" customFormat="1" ht="14.5" x14ac:dyDescent="0.3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 s="34"/>
      <c r="AJ574"/>
      <c r="AK574"/>
      <c r="AL574"/>
      <c r="AM574"/>
      <c r="AN574"/>
      <c r="AO574"/>
    </row>
    <row r="575" spans="1:41" s="3" customFormat="1" ht="14.5" x14ac:dyDescent="0.3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 s="34"/>
      <c r="AJ575"/>
      <c r="AK575"/>
      <c r="AL575"/>
      <c r="AM575"/>
      <c r="AN575"/>
      <c r="AO575"/>
    </row>
    <row r="576" spans="1:41" s="3" customFormat="1" ht="14.5" x14ac:dyDescent="0.3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 s="34"/>
      <c r="AJ576"/>
      <c r="AK576"/>
      <c r="AL576"/>
      <c r="AM576"/>
      <c r="AN576"/>
      <c r="AO576"/>
    </row>
    <row r="577" spans="1:41" s="3" customFormat="1" ht="14.5" x14ac:dyDescent="0.3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 s="34"/>
      <c r="AJ577"/>
      <c r="AK577"/>
      <c r="AL577"/>
      <c r="AM577"/>
      <c r="AN577"/>
      <c r="AO577"/>
    </row>
    <row r="578" spans="1:41" s="3" customFormat="1" ht="14.5" x14ac:dyDescent="0.3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 s="34"/>
      <c r="AJ578"/>
      <c r="AK578"/>
      <c r="AL578"/>
      <c r="AM578"/>
      <c r="AN578"/>
      <c r="AO578"/>
    </row>
    <row r="579" spans="1:41" s="3" customFormat="1" ht="14.5" x14ac:dyDescent="0.3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 s="34"/>
      <c r="AJ579"/>
      <c r="AK579"/>
      <c r="AL579"/>
      <c r="AM579"/>
      <c r="AN579"/>
      <c r="AO579"/>
    </row>
    <row r="580" spans="1:41" s="3" customFormat="1" ht="14.5" x14ac:dyDescent="0.3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 s="34"/>
      <c r="AJ580"/>
      <c r="AK580"/>
      <c r="AL580"/>
      <c r="AM580"/>
      <c r="AN580"/>
      <c r="AO580"/>
    </row>
  </sheetData>
  <autoFilter ref="A4:AN271" xr:uid="{00000000-0001-0000-0100-000000000000}"/>
  <mergeCells count="58">
    <mergeCell ref="AE2:AH2"/>
    <mergeCell ref="AI2:AJ2"/>
    <mergeCell ref="S2:V2"/>
    <mergeCell ref="W2:Z2"/>
    <mergeCell ref="AA2:AD2"/>
    <mergeCell ref="AB3:AD3"/>
    <mergeCell ref="AA4:AA6"/>
    <mergeCell ref="AB4:AB6"/>
    <mergeCell ref="AC4:AC6"/>
    <mergeCell ref="AD4:AD6"/>
    <mergeCell ref="O2:R2"/>
    <mergeCell ref="AE4:AE6"/>
    <mergeCell ref="AF4:AF6"/>
    <mergeCell ref="AG4:AG6"/>
    <mergeCell ref="AH4:AH6"/>
    <mergeCell ref="X3:Z3"/>
    <mergeCell ref="W4:W6"/>
    <mergeCell ref="X4:X6"/>
    <mergeCell ref="Y4:Y6"/>
    <mergeCell ref="Z4:Z6"/>
    <mergeCell ref="AF3:AH3"/>
    <mergeCell ref="R4:R6"/>
    <mergeCell ref="T3:V3"/>
    <mergeCell ref="S4:S6"/>
    <mergeCell ref="T4:T6"/>
    <mergeCell ref="U4:U6"/>
    <mergeCell ref="M4:M6"/>
    <mergeCell ref="AJ4:AJ6"/>
    <mergeCell ref="AK4:AK6"/>
    <mergeCell ref="AL4:AL6"/>
    <mergeCell ref="AM4:AM6"/>
    <mergeCell ref="V4:V6"/>
    <mergeCell ref="O1:AJ1"/>
    <mergeCell ref="AK1:AL3"/>
    <mergeCell ref="P3:R3"/>
    <mergeCell ref="A4:A6"/>
    <mergeCell ref="B4:B6"/>
    <mergeCell ref="C4:C6"/>
    <mergeCell ref="D4:D6"/>
    <mergeCell ref="E4:E6"/>
    <mergeCell ref="F4:F6"/>
    <mergeCell ref="H4:H6"/>
    <mergeCell ref="I4:I6"/>
    <mergeCell ref="J4:J6"/>
    <mergeCell ref="K4:K6"/>
    <mergeCell ref="L4:L6"/>
    <mergeCell ref="N4:N6"/>
    <mergeCell ref="O4:O6"/>
    <mergeCell ref="AI271:AK271"/>
    <mergeCell ref="AN4:AN6"/>
    <mergeCell ref="P271:R271"/>
    <mergeCell ref="T271:V271"/>
    <mergeCell ref="X271:Z271"/>
    <mergeCell ref="AB271:AD271"/>
    <mergeCell ref="AF271:AH271"/>
    <mergeCell ref="P4:P6"/>
    <mergeCell ref="Q4:Q6"/>
    <mergeCell ref="AI4:AI6"/>
  </mergeCells>
  <conditionalFormatting sqref="E271 E7:E268">
    <cfRule type="duplicateValues" dxfId="0" priority="1"/>
  </conditionalFormatting>
  <printOptions horizontalCentered="1" verticalCentered="1"/>
  <pageMargins left="0.27559055118110237" right="0.15748031496062992" top="0.35433070866141736" bottom="0.23622047244094491" header="0.31496062992125984" footer="0.31496062992125984"/>
  <pageSetup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01AF-D2BC-4502-A0F9-6C6B47ECA756}">
  <sheetPr>
    <pageSetUpPr fitToPage="1"/>
  </sheetPr>
  <dimension ref="B1:AI10"/>
  <sheetViews>
    <sheetView tabSelected="1" zoomScale="91" zoomScaleNormal="85" workbookViewId="0">
      <selection activeCell="A8" sqref="A8:XFD8"/>
    </sheetView>
  </sheetViews>
  <sheetFormatPr defaultRowHeight="14.5" x14ac:dyDescent="0.35"/>
  <cols>
    <col min="2" max="2" width="8.81640625" bestFit="1" customWidth="1"/>
    <col min="3" max="3" width="10" bestFit="1" customWidth="1"/>
    <col min="4" max="4" width="10.36328125" customWidth="1"/>
    <col min="5" max="6" width="7.54296875" bestFit="1" customWidth="1"/>
    <col min="7" max="7" width="6.6328125" bestFit="1" customWidth="1"/>
    <col min="8" max="8" width="7.1796875" bestFit="1" customWidth="1"/>
    <col min="9" max="9" width="7.1796875" customWidth="1"/>
    <col min="10" max="10" width="14.08984375" bestFit="1" customWidth="1"/>
    <col min="11" max="11" width="0.453125" customWidth="1"/>
    <col min="12" max="12" width="16.36328125" customWidth="1"/>
    <col min="13" max="13" width="17" customWidth="1"/>
    <col min="14" max="14" width="0.36328125" customWidth="1"/>
    <col min="15" max="15" width="6.26953125" bestFit="1" customWidth="1"/>
    <col min="17" max="17" width="17.08984375" customWidth="1"/>
    <col min="18" max="19" width="8.7265625" style="78"/>
    <col min="22" max="22" width="9.81640625" customWidth="1"/>
    <col min="28" max="28" width="10.81640625" customWidth="1"/>
    <col min="34" max="34" width="10.81640625" customWidth="1"/>
  </cols>
  <sheetData>
    <row r="1" spans="2:35" ht="22.5" customHeight="1" thickBot="1" x14ac:dyDescent="0.4">
      <c r="B1" s="221" t="s">
        <v>718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77"/>
      <c r="O1" s="77"/>
    </row>
    <row r="2" spans="2:35" ht="22.5" customHeight="1" x14ac:dyDescent="0.35">
      <c r="B2" s="223" t="s">
        <v>719</v>
      </c>
      <c r="C2" s="225" t="s">
        <v>720</v>
      </c>
      <c r="D2" s="215" t="s">
        <v>721</v>
      </c>
      <c r="E2" s="216"/>
      <c r="F2" s="216"/>
      <c r="G2" s="216"/>
      <c r="H2" s="216"/>
      <c r="I2" s="216"/>
      <c r="J2" s="217"/>
      <c r="K2" s="79"/>
      <c r="L2" s="227" t="s">
        <v>722</v>
      </c>
      <c r="M2" s="228"/>
      <c r="O2" s="80" t="s">
        <v>719</v>
      </c>
      <c r="P2" s="218" t="s">
        <v>723</v>
      </c>
      <c r="Q2" s="220"/>
      <c r="R2" s="218" t="s">
        <v>724</v>
      </c>
      <c r="S2" s="219"/>
      <c r="T2" s="219"/>
      <c r="U2" s="219"/>
      <c r="V2" s="219"/>
      <c r="W2" s="220"/>
      <c r="X2" s="218" t="s">
        <v>725</v>
      </c>
      <c r="Y2" s="219"/>
      <c r="Z2" s="219"/>
      <c r="AA2" s="219"/>
      <c r="AB2" s="219"/>
      <c r="AC2" s="220"/>
      <c r="AD2" s="215" t="s">
        <v>726</v>
      </c>
      <c r="AE2" s="216"/>
      <c r="AF2" s="216"/>
      <c r="AG2" s="216"/>
      <c r="AH2" s="216"/>
      <c r="AI2" s="217"/>
    </row>
    <row r="3" spans="2:35" ht="40.5" customHeight="1" x14ac:dyDescent="0.35">
      <c r="B3" s="224"/>
      <c r="C3" s="226"/>
      <c r="D3" s="81" t="s">
        <v>721</v>
      </c>
      <c r="E3" s="82" t="s">
        <v>591</v>
      </c>
      <c r="F3" s="82" t="s">
        <v>727</v>
      </c>
      <c r="G3" s="82" t="s">
        <v>577</v>
      </c>
      <c r="H3" s="82" t="s">
        <v>578</v>
      </c>
      <c r="I3" s="82" t="s">
        <v>602</v>
      </c>
      <c r="J3" s="83" t="s">
        <v>728</v>
      </c>
      <c r="K3" s="84"/>
      <c r="L3" s="85" t="s">
        <v>720</v>
      </c>
      <c r="M3" s="85" t="s">
        <v>729</v>
      </c>
      <c r="O3" s="86" t="s">
        <v>730</v>
      </c>
      <c r="P3" s="81" t="s">
        <v>720</v>
      </c>
      <c r="Q3" s="83" t="s">
        <v>721</v>
      </c>
      <c r="R3" s="87" t="s">
        <v>731</v>
      </c>
      <c r="S3" s="88" t="s">
        <v>732</v>
      </c>
      <c r="T3" s="88" t="s">
        <v>733</v>
      </c>
      <c r="U3" s="88" t="s">
        <v>734</v>
      </c>
      <c r="V3" s="88" t="s">
        <v>735</v>
      </c>
      <c r="W3" s="89" t="s">
        <v>736</v>
      </c>
      <c r="X3" s="87" t="s">
        <v>731</v>
      </c>
      <c r="Y3" s="88" t="s">
        <v>732</v>
      </c>
      <c r="Z3" s="88" t="s">
        <v>733</v>
      </c>
      <c r="AA3" s="88" t="s">
        <v>734</v>
      </c>
      <c r="AB3" s="88" t="s">
        <v>735</v>
      </c>
      <c r="AC3" s="89" t="s">
        <v>736</v>
      </c>
      <c r="AD3" s="87" t="s">
        <v>731</v>
      </c>
      <c r="AE3" s="88" t="s">
        <v>732</v>
      </c>
      <c r="AF3" s="88" t="s">
        <v>733</v>
      </c>
      <c r="AG3" s="88" t="s">
        <v>734</v>
      </c>
      <c r="AH3" s="88" t="s">
        <v>735</v>
      </c>
      <c r="AI3" s="89" t="s">
        <v>736</v>
      </c>
    </row>
    <row r="4" spans="2:35" ht="22.5" customHeight="1" x14ac:dyDescent="0.35">
      <c r="B4" s="90" t="s">
        <v>560</v>
      </c>
      <c r="C4" s="115">
        <v>165</v>
      </c>
      <c r="D4" s="116">
        <v>615</v>
      </c>
      <c r="E4" s="117">
        <v>320</v>
      </c>
      <c r="F4" s="117">
        <v>18</v>
      </c>
      <c r="G4" s="117">
        <v>169</v>
      </c>
      <c r="H4" s="117">
        <v>7</v>
      </c>
      <c r="I4" s="119">
        <v>4</v>
      </c>
      <c r="J4" s="118">
        <v>97</v>
      </c>
      <c r="K4" s="91"/>
      <c r="L4" s="92">
        <v>85</v>
      </c>
      <c r="M4" s="93">
        <v>297</v>
      </c>
      <c r="O4" s="94" t="s">
        <v>560</v>
      </c>
      <c r="P4" s="95">
        <v>80</v>
      </c>
      <c r="Q4" s="96">
        <f>SUM(R4:S4,X4:Y4)</f>
        <v>321</v>
      </c>
      <c r="R4" s="120">
        <v>28</v>
      </c>
      <c r="S4" s="121">
        <f>SUM(T4:W4)</f>
        <v>235</v>
      </c>
      <c r="T4" s="121">
        <f>128+11+5</f>
        <v>144</v>
      </c>
      <c r="U4" s="121">
        <f>17+1</f>
        <v>18</v>
      </c>
      <c r="V4" s="121">
        <f>9+1+1</f>
        <v>11</v>
      </c>
      <c r="W4" s="122">
        <f>41+21</f>
        <v>62</v>
      </c>
      <c r="X4" s="120">
        <v>12</v>
      </c>
      <c r="Y4" s="121">
        <f>SUM(Z4:AC4)</f>
        <v>46</v>
      </c>
      <c r="Z4" s="121">
        <v>22</v>
      </c>
      <c r="AA4" s="121">
        <v>0</v>
      </c>
      <c r="AB4" s="121">
        <v>0</v>
      </c>
      <c r="AC4" s="122">
        <v>24</v>
      </c>
      <c r="AD4" s="97">
        <f>SUM(X4,R4)</f>
        <v>40</v>
      </c>
      <c r="AE4" s="97">
        <f>SUM(Y4,S4)</f>
        <v>281</v>
      </c>
      <c r="AF4" s="99">
        <f t="shared" ref="AE4:AI6" si="0">SUM(T4,Z4)</f>
        <v>166</v>
      </c>
      <c r="AG4" s="99">
        <f t="shared" si="0"/>
        <v>18</v>
      </c>
      <c r="AH4" s="99">
        <f t="shared" si="0"/>
        <v>11</v>
      </c>
      <c r="AI4" s="100">
        <f t="shared" si="0"/>
        <v>86</v>
      </c>
    </row>
    <row r="5" spans="2:35" ht="22.5" customHeight="1" x14ac:dyDescent="0.35">
      <c r="B5" s="90" t="s">
        <v>559</v>
      </c>
      <c r="C5" s="115">
        <v>98</v>
      </c>
      <c r="D5" s="116">
        <v>297</v>
      </c>
      <c r="E5" s="117">
        <v>15</v>
      </c>
      <c r="F5" s="117">
        <v>0</v>
      </c>
      <c r="G5" s="117">
        <v>0</v>
      </c>
      <c r="H5" s="117">
        <v>0</v>
      </c>
      <c r="I5" s="119">
        <v>0</v>
      </c>
      <c r="J5" s="118">
        <v>282</v>
      </c>
      <c r="K5" s="91"/>
      <c r="L5" s="92">
        <v>6</v>
      </c>
      <c r="M5" s="93">
        <v>12</v>
      </c>
      <c r="O5" s="94" t="s">
        <v>559</v>
      </c>
      <c r="P5" s="95">
        <v>92</v>
      </c>
      <c r="Q5" s="96">
        <f>SUM(R5:S5,X5:Y5)</f>
        <v>282</v>
      </c>
      <c r="R5" s="120">
        <v>0</v>
      </c>
      <c r="S5" s="121">
        <v>6</v>
      </c>
      <c r="T5" s="121">
        <v>0</v>
      </c>
      <c r="U5" s="121">
        <v>0</v>
      </c>
      <c r="V5" s="121">
        <v>0</v>
      </c>
      <c r="W5" s="122">
        <f>S5-SUM(T5:V5)</f>
        <v>6</v>
      </c>
      <c r="X5" s="120">
        <v>7</v>
      </c>
      <c r="Y5" s="121">
        <f>SUM(Z5:AC5)</f>
        <v>269</v>
      </c>
      <c r="Z5" s="121">
        <v>0</v>
      </c>
      <c r="AA5" s="121">
        <v>0</v>
      </c>
      <c r="AB5" s="121">
        <v>0</v>
      </c>
      <c r="AC5" s="122">
        <v>269</v>
      </c>
      <c r="AD5" s="97">
        <f t="shared" ref="AD5:AD6" si="1">SUM(R5,X5)</f>
        <v>7</v>
      </c>
      <c r="AE5" s="98">
        <f t="shared" si="0"/>
        <v>275</v>
      </c>
      <c r="AF5" s="99">
        <f t="shared" si="0"/>
        <v>0</v>
      </c>
      <c r="AG5" s="99">
        <f t="shared" si="0"/>
        <v>0</v>
      </c>
      <c r="AH5" s="99">
        <f t="shared" si="0"/>
        <v>0</v>
      </c>
      <c r="AI5" s="100">
        <f t="shared" si="0"/>
        <v>275</v>
      </c>
    </row>
    <row r="6" spans="2:35" ht="22.5" customHeight="1" thickBot="1" x14ac:dyDescent="0.4">
      <c r="B6" s="101" t="s">
        <v>737</v>
      </c>
      <c r="C6" s="102">
        <f>SUM(C4:C5)</f>
        <v>263</v>
      </c>
      <c r="D6" s="103">
        <f>SUM(D4:D5)</f>
        <v>912</v>
      </c>
      <c r="E6" s="104">
        <f t="shared" ref="E6:I6" si="2">SUM(E4:E5)</f>
        <v>335</v>
      </c>
      <c r="F6" s="104">
        <f t="shared" si="2"/>
        <v>18</v>
      </c>
      <c r="G6" s="104">
        <f t="shared" si="2"/>
        <v>169</v>
      </c>
      <c r="H6" s="104">
        <f t="shared" si="2"/>
        <v>7</v>
      </c>
      <c r="I6" s="104">
        <f t="shared" si="2"/>
        <v>4</v>
      </c>
      <c r="J6" s="105">
        <f>SUM(J4:J5)</f>
        <v>379</v>
      </c>
      <c r="K6" s="102"/>
      <c r="L6" s="106">
        <f t="shared" ref="L6:M6" si="3">SUM(L4:L5)</f>
        <v>91</v>
      </c>
      <c r="M6" s="101">
        <f t="shared" si="3"/>
        <v>309</v>
      </c>
      <c r="O6" s="107" t="s">
        <v>707</v>
      </c>
      <c r="P6" s="108">
        <f>SUM(P4:P5)</f>
        <v>172</v>
      </c>
      <c r="Q6" s="109">
        <f>SUM(Q4:Q5)</f>
        <v>603</v>
      </c>
      <c r="R6" s="110">
        <f t="shared" ref="R6:AC6" si="4">SUM(R4:R5)</f>
        <v>28</v>
      </c>
      <c r="S6" s="111">
        <f t="shared" si="4"/>
        <v>241</v>
      </c>
      <c r="T6" s="112">
        <f t="shared" si="4"/>
        <v>144</v>
      </c>
      <c r="U6" s="112">
        <f t="shared" si="4"/>
        <v>18</v>
      </c>
      <c r="V6" s="112">
        <f t="shared" si="4"/>
        <v>11</v>
      </c>
      <c r="W6" s="113">
        <f t="shared" si="4"/>
        <v>68</v>
      </c>
      <c r="X6" s="110">
        <f t="shared" si="4"/>
        <v>19</v>
      </c>
      <c r="Y6" s="111">
        <f t="shared" si="4"/>
        <v>315</v>
      </c>
      <c r="Z6" s="112">
        <f t="shared" si="4"/>
        <v>22</v>
      </c>
      <c r="AA6" s="112">
        <f t="shared" si="4"/>
        <v>0</v>
      </c>
      <c r="AB6" s="112">
        <f t="shared" si="4"/>
        <v>0</v>
      </c>
      <c r="AC6" s="113">
        <f t="shared" si="4"/>
        <v>293</v>
      </c>
      <c r="AD6" s="110">
        <f t="shared" si="1"/>
        <v>47</v>
      </c>
      <c r="AE6" s="111">
        <f t="shared" si="0"/>
        <v>556</v>
      </c>
      <c r="AF6" s="112">
        <f t="shared" si="0"/>
        <v>166</v>
      </c>
      <c r="AG6" s="112">
        <f t="shared" si="0"/>
        <v>18</v>
      </c>
      <c r="AH6" s="112">
        <f t="shared" si="0"/>
        <v>11</v>
      </c>
      <c r="AI6" s="113">
        <f t="shared" si="0"/>
        <v>361</v>
      </c>
    </row>
    <row r="7" spans="2:35" ht="22.5" customHeight="1" x14ac:dyDescent="0.35"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</row>
    <row r="10" spans="2:35" ht="31.5" customHeight="1" x14ac:dyDescent="0.35"/>
  </sheetData>
  <mergeCells count="9">
    <mergeCell ref="B1:M1"/>
    <mergeCell ref="B2:B3"/>
    <mergeCell ref="C2:C3"/>
    <mergeCell ref="D2:J2"/>
    <mergeCell ref="L2:M2"/>
    <mergeCell ref="R2:W2"/>
    <mergeCell ref="X2:AC2"/>
    <mergeCell ref="AD2:AI2"/>
    <mergeCell ref="P2:Q2"/>
  </mergeCells>
  <pageMargins left="0.7" right="0.7" top="0.75" bottom="0.75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DU Sheet</vt:lpstr>
      <vt:lpstr>Summary-Updated</vt:lpstr>
      <vt:lpstr>'DU Sheet'!Print_Area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Waqar Azeem</dc:creator>
  <cp:lastModifiedBy>Waqas Nazim</cp:lastModifiedBy>
  <cp:lastPrinted>2023-10-16T07:19:24Z</cp:lastPrinted>
  <dcterms:created xsi:type="dcterms:W3CDTF">2012-01-04T04:13:14Z</dcterms:created>
  <dcterms:modified xsi:type="dcterms:W3CDTF">2025-08-04T15:29:20Z</dcterms:modified>
</cp:coreProperties>
</file>